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aintgobain-my.sharepoint.com/personal/veronica_estrada_saint-gobain_com/Documents/00_INFORMES/INFORMES TECNICOS/00_Generales/99_OTROS/"/>
    </mc:Choice>
  </mc:AlternateContent>
  <xr:revisionPtr revIDLastSave="9" documentId="8_{26EC2A8A-EBBB-421D-B147-267894CF627E}" xr6:coauthVersionLast="47" xr6:coauthVersionMax="47" xr10:uidLastSave="{7884E8D5-92E9-40D1-9EC5-819016B219C5}"/>
  <workbookProtection workbookAlgorithmName="SHA-512" workbookHashValue="7SaO4GrPEXdbqwiukaHN+lNJnJdLyNsom5IJCySugUwRmCwQdwxU8WwGVX3k0VmsvlNuonNP8TQKnWqZYIBI8Q==" workbookSaltValue="JGXvpAY1tX+skV/uJcjm+A==" workbookSpinCount="100000" lockStructure="1"/>
  <bookViews>
    <workbookView xWindow="-28920" yWindow="-120" windowWidth="29040" windowHeight="15720" tabRatio="743" firstSheet="7" activeTab="7" xr2:uid="{00000000-000D-0000-FFFF-FFFF00000000}"/>
  </bookViews>
  <sheets>
    <sheet name="PEDIDO WEPP" sheetId="27" state="hidden" r:id="rId1"/>
    <sheet name="PEDIDO WEPP ALEMAN" sheetId="31" state="hidden" r:id="rId2"/>
    <sheet name="CLIENTE PEDIDO" sheetId="1" state="hidden" r:id="rId3"/>
    <sheet name="CLIENTE FACTURA" sheetId="28" state="hidden" r:id="rId4"/>
    <sheet name="FACTURA COMERCIAL" sheetId="30" state="hidden" r:id="rId5"/>
    <sheet name="DATOS" sheetId="2" state="hidden" r:id="rId6"/>
    <sheet name="familias" sheetId="32" state="hidden" r:id="rId7"/>
    <sheet name="DATOS (2)" sheetId="33" r:id="rId8"/>
  </sheets>
  <definedNames>
    <definedName name="_xlnm._FilterDatabase" localSheetId="5" hidden="1">DATOS!$A$2:$AZ$144</definedName>
    <definedName name="_xlnm._FilterDatabase" localSheetId="7" hidden="1">'DATOS (2)'!$A$2:$AZ$144</definedName>
    <definedName name="_xlnm.Print_Area" localSheetId="0">'PEDIDO WEPP'!$B$1:$J$125</definedName>
    <definedName name="carroceria">familias!$D$89:$D$95</definedName>
    <definedName name="climatizacion">familias!$D$17:$D$30</definedName>
    <definedName name="combustion">familias!$D$31:$D$54</definedName>
    <definedName name="frenos">familias!$D$55:$D$60</definedName>
    <definedName name="mantenimiento">familias!$D$61:$D$88</definedName>
    <definedName name="motor">familias!$D$1:$D$11</definedName>
    <definedName name="refrigeracion">familias!$D$12:$D$16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33" l="1"/>
  <c r="S5" i="33"/>
  <c r="S6" i="33"/>
  <c r="S7" i="33"/>
  <c r="S8" i="33"/>
  <c r="S9" i="33"/>
  <c r="S10" i="33"/>
  <c r="AS10" i="33" s="1"/>
  <c r="S11" i="33"/>
  <c r="AS11" i="33" s="1"/>
  <c r="S12" i="33"/>
  <c r="AS12" i="33" s="1"/>
  <c r="S13" i="33"/>
  <c r="AS13" i="33" s="1"/>
  <c r="S14" i="33"/>
  <c r="AS14" i="33" s="1"/>
  <c r="S15" i="33"/>
  <c r="AS15" i="33" s="1"/>
  <c r="S16" i="33"/>
  <c r="AS16" i="33" s="1"/>
  <c r="S17" i="33"/>
  <c r="AS17" i="33" s="1"/>
  <c r="S18" i="33"/>
  <c r="S19" i="33"/>
  <c r="S20" i="33"/>
  <c r="S21" i="33"/>
  <c r="S22" i="33"/>
  <c r="S23" i="33"/>
  <c r="S24" i="33"/>
  <c r="AS24" i="33" s="1"/>
  <c r="S25" i="33"/>
  <c r="AS25" i="33" s="1"/>
  <c r="S26" i="33"/>
  <c r="AS26" i="33" s="1"/>
  <c r="S27" i="33"/>
  <c r="AS27" i="33" s="1"/>
  <c r="S28" i="33"/>
  <c r="AS28" i="33" s="1"/>
  <c r="S29" i="33"/>
  <c r="AS29" i="33" s="1"/>
  <c r="S30" i="33"/>
  <c r="AS30" i="33" s="1"/>
  <c r="S31" i="33"/>
  <c r="AS31" i="33" s="1"/>
  <c r="S32" i="33"/>
  <c r="S33" i="33"/>
  <c r="S34" i="33"/>
  <c r="S35" i="33"/>
  <c r="S36" i="33"/>
  <c r="S37" i="33"/>
  <c r="S38" i="33"/>
  <c r="AS38" i="33" s="1"/>
  <c r="S39" i="33"/>
  <c r="AS39" i="33" s="1"/>
  <c r="S40" i="33"/>
  <c r="AS40" i="33" s="1"/>
  <c r="S41" i="33"/>
  <c r="AS41" i="33" s="1"/>
  <c r="S42" i="33"/>
  <c r="AS42" i="33" s="1"/>
  <c r="S43" i="33"/>
  <c r="AS43" i="33" s="1"/>
  <c r="S44" i="33"/>
  <c r="AS44" i="33" s="1"/>
  <c r="S45" i="33"/>
  <c r="AS45" i="33" s="1"/>
  <c r="S46" i="33"/>
  <c r="S47" i="33"/>
  <c r="S48" i="33"/>
  <c r="S49" i="33"/>
  <c r="S50" i="33"/>
  <c r="S51" i="33"/>
  <c r="S52" i="33"/>
  <c r="AS52" i="33" s="1"/>
  <c r="S53" i="33"/>
  <c r="AS53" i="33" s="1"/>
  <c r="S54" i="33"/>
  <c r="AS54" i="33" s="1"/>
  <c r="S55" i="33"/>
  <c r="AS55" i="33" s="1"/>
  <c r="S56" i="33"/>
  <c r="AS56" i="33" s="1"/>
  <c r="S57" i="33"/>
  <c r="AS57" i="33" s="1"/>
  <c r="S58" i="33"/>
  <c r="AS58" i="33" s="1"/>
  <c r="S59" i="33"/>
  <c r="AS59" i="33" s="1"/>
  <c r="S60" i="33"/>
  <c r="S61" i="33"/>
  <c r="S62" i="33"/>
  <c r="S63" i="33"/>
  <c r="S64" i="33"/>
  <c r="S65" i="33"/>
  <c r="S66" i="33"/>
  <c r="AS66" i="33" s="1"/>
  <c r="S67" i="33"/>
  <c r="AS67" i="33" s="1"/>
  <c r="S68" i="33"/>
  <c r="AS68" i="33" s="1"/>
  <c r="S69" i="33"/>
  <c r="AS69" i="33" s="1"/>
  <c r="S70" i="33"/>
  <c r="AS70" i="33" s="1"/>
  <c r="S71" i="33"/>
  <c r="AS71" i="33" s="1"/>
  <c r="S72" i="33"/>
  <c r="AS72" i="33" s="1"/>
  <c r="S73" i="33"/>
  <c r="AS73" i="33" s="1"/>
  <c r="S74" i="33"/>
  <c r="S75" i="33"/>
  <c r="S76" i="33"/>
  <c r="S77" i="33"/>
  <c r="S78" i="33"/>
  <c r="S79" i="33"/>
  <c r="S80" i="33"/>
  <c r="AS80" i="33" s="1"/>
  <c r="S81" i="33"/>
  <c r="AS81" i="33" s="1"/>
  <c r="S82" i="33"/>
  <c r="AS82" i="33" s="1"/>
  <c r="S83" i="33"/>
  <c r="AS83" i="33" s="1"/>
  <c r="S84" i="33"/>
  <c r="AS84" i="33" s="1"/>
  <c r="S85" i="33"/>
  <c r="AS85" i="33" s="1"/>
  <c r="S86" i="33"/>
  <c r="AS86" i="33" s="1"/>
  <c r="S87" i="33"/>
  <c r="AS87" i="33" s="1"/>
  <c r="S88" i="33"/>
  <c r="S89" i="33"/>
  <c r="S90" i="33"/>
  <c r="S91" i="33"/>
  <c r="S92" i="33"/>
  <c r="S93" i="33"/>
  <c r="S94" i="33"/>
  <c r="AS94" i="33" s="1"/>
  <c r="S95" i="33"/>
  <c r="AS95" i="33" s="1"/>
  <c r="S96" i="33"/>
  <c r="AS96" i="33" s="1"/>
  <c r="S97" i="33"/>
  <c r="AS97" i="33" s="1"/>
  <c r="S98" i="33"/>
  <c r="AS98" i="33" s="1"/>
  <c r="S99" i="33"/>
  <c r="AS99" i="33" s="1"/>
  <c r="S100" i="33"/>
  <c r="AS100" i="33" s="1"/>
  <c r="S101" i="33"/>
  <c r="AS101" i="33" s="1"/>
  <c r="S102" i="33"/>
  <c r="S103" i="33"/>
  <c r="S104" i="33"/>
  <c r="S105" i="33"/>
  <c r="S106" i="33"/>
  <c r="S107" i="33"/>
  <c r="S108" i="33"/>
  <c r="AS108" i="33" s="1"/>
  <c r="S109" i="33"/>
  <c r="AS109" i="33" s="1"/>
  <c r="S110" i="33"/>
  <c r="AS110" i="33" s="1"/>
  <c r="S111" i="33"/>
  <c r="AS111" i="33" s="1"/>
  <c r="S112" i="33"/>
  <c r="AS112" i="33" s="1"/>
  <c r="S113" i="33"/>
  <c r="AS113" i="33" s="1"/>
  <c r="S114" i="33"/>
  <c r="AS114" i="33" s="1"/>
  <c r="S115" i="33"/>
  <c r="AS115" i="33" s="1"/>
  <c r="S116" i="33"/>
  <c r="S117" i="33"/>
  <c r="S118" i="33"/>
  <c r="S119" i="33"/>
  <c r="S120" i="33"/>
  <c r="S121" i="33"/>
  <c r="S122" i="33"/>
  <c r="AS122" i="33" s="1"/>
  <c r="S123" i="33"/>
  <c r="AS123" i="33" s="1"/>
  <c r="S124" i="33"/>
  <c r="AS124" i="33" s="1"/>
  <c r="S125" i="33"/>
  <c r="AS125" i="33" s="1"/>
  <c r="S126" i="33"/>
  <c r="AS126" i="33" s="1"/>
  <c r="S127" i="33"/>
  <c r="AS127" i="33" s="1"/>
  <c r="S128" i="33"/>
  <c r="AS128" i="33" s="1"/>
  <c r="S129" i="33"/>
  <c r="AS129" i="33" s="1"/>
  <c r="S130" i="33"/>
  <c r="S131" i="33"/>
  <c r="S132" i="33"/>
  <c r="S133" i="33"/>
  <c r="S134" i="33"/>
  <c r="S135" i="33"/>
  <c r="S136" i="33"/>
  <c r="AS136" i="33" s="1"/>
  <c r="S3" i="33"/>
  <c r="AS3" i="33" s="1"/>
  <c r="AS4" i="33"/>
  <c r="AS5" i="33"/>
  <c r="AS6" i="33"/>
  <c r="AS7" i="33"/>
  <c r="AS8" i="33"/>
  <c r="AS9" i="33"/>
  <c r="AS18" i="33"/>
  <c r="AS19" i="33"/>
  <c r="AS20" i="33"/>
  <c r="AS21" i="33"/>
  <c r="AS22" i="33"/>
  <c r="AS23" i="33"/>
  <c r="AS32" i="33"/>
  <c r="AS33" i="33"/>
  <c r="AS34" i="33"/>
  <c r="AS35" i="33"/>
  <c r="AS36" i="33"/>
  <c r="AS37" i="33"/>
  <c r="AS46" i="33"/>
  <c r="AS47" i="33"/>
  <c r="AS48" i="33"/>
  <c r="AS49" i="33"/>
  <c r="AS50" i="33"/>
  <c r="AS51" i="33"/>
  <c r="AS60" i="33"/>
  <c r="AS61" i="33"/>
  <c r="AS62" i="33"/>
  <c r="AS63" i="33"/>
  <c r="AS64" i="33"/>
  <c r="AS65" i="33"/>
  <c r="AS74" i="33"/>
  <c r="AS75" i="33"/>
  <c r="AS76" i="33"/>
  <c r="AS77" i="33"/>
  <c r="AS78" i="33"/>
  <c r="AS79" i="33"/>
  <c r="AS88" i="33"/>
  <c r="AS89" i="33"/>
  <c r="AS90" i="33"/>
  <c r="AS91" i="33"/>
  <c r="AS92" i="33"/>
  <c r="AS93" i="33"/>
  <c r="AS102" i="33"/>
  <c r="AS103" i="33"/>
  <c r="AS104" i="33"/>
  <c r="AS105" i="33"/>
  <c r="AS106" i="33"/>
  <c r="AS107" i="33"/>
  <c r="AS116" i="33"/>
  <c r="AS117" i="33"/>
  <c r="AS118" i="33"/>
  <c r="AS119" i="33"/>
  <c r="AS120" i="33"/>
  <c r="AS121" i="33"/>
  <c r="AS130" i="33"/>
  <c r="AS131" i="33"/>
  <c r="AS132" i="33"/>
  <c r="AS133" i="33"/>
  <c r="AS134" i="33"/>
  <c r="AS135" i="33"/>
  <c r="AS137" i="33"/>
  <c r="AS138" i="33"/>
  <c r="AS139" i="33"/>
  <c r="AS140" i="33"/>
  <c r="AS141" i="33"/>
  <c r="AS142" i="33"/>
  <c r="AS143" i="33"/>
  <c r="AS144" i="33"/>
  <c r="D144" i="33"/>
  <c r="D143" i="33"/>
  <c r="D142" i="33"/>
  <c r="D141" i="33"/>
  <c r="D140" i="33"/>
  <c r="D139" i="33"/>
  <c r="AD138" i="33"/>
  <c r="AA138" i="33"/>
  <c r="D138" i="33"/>
  <c r="AD137" i="33"/>
  <c r="AA137" i="33"/>
  <c r="U137" i="33"/>
  <c r="W137" i="33" s="1"/>
  <c r="J137" i="33"/>
  <c r="G137" i="33"/>
  <c r="K137" i="33" s="1"/>
  <c r="D137" i="33"/>
  <c r="AG136" i="33"/>
  <c r="AF136" i="33"/>
  <c r="AD136" i="33"/>
  <c r="AA136" i="33"/>
  <c r="Q136" i="33"/>
  <c r="U136" i="33" s="1"/>
  <c r="K136" i="33"/>
  <c r="J136" i="33"/>
  <c r="G136" i="33"/>
  <c r="D136" i="33"/>
  <c r="AG135" i="33"/>
  <c r="AF135" i="33"/>
  <c r="AD135" i="33"/>
  <c r="AA135" i="33"/>
  <c r="Q135" i="33"/>
  <c r="U135" i="33" s="1"/>
  <c r="K135" i="33"/>
  <c r="J135" i="33"/>
  <c r="G135" i="33"/>
  <c r="D135" i="33"/>
  <c r="AF134" i="33"/>
  <c r="AG134" i="33" s="1"/>
  <c r="AD134" i="33"/>
  <c r="AA134" i="33"/>
  <c r="Q134" i="33"/>
  <c r="U134" i="33" s="1"/>
  <c r="J134" i="33"/>
  <c r="G134" i="33"/>
  <c r="K134" i="33" s="1"/>
  <c r="D134" i="33"/>
  <c r="AF133" i="33"/>
  <c r="AG133" i="33" s="1"/>
  <c r="AD133" i="33"/>
  <c r="AA133" i="33"/>
  <c r="Q133" i="33"/>
  <c r="U133" i="33" s="1"/>
  <c r="V133" i="33" s="1"/>
  <c r="J133" i="33"/>
  <c r="G133" i="33"/>
  <c r="K133" i="33" s="1"/>
  <c r="D133" i="33"/>
  <c r="AF132" i="33"/>
  <c r="AG132" i="33" s="1"/>
  <c r="AD132" i="33"/>
  <c r="AA132" i="33"/>
  <c r="Q132" i="33"/>
  <c r="U132" i="33" s="1"/>
  <c r="W132" i="33" s="1"/>
  <c r="J132" i="33"/>
  <c r="G132" i="33"/>
  <c r="K132" i="33" s="1"/>
  <c r="D132" i="33"/>
  <c r="AG131" i="33"/>
  <c r="AF131" i="33"/>
  <c r="AD131" i="33"/>
  <c r="AA131" i="33"/>
  <c r="Q131" i="33"/>
  <c r="U131" i="33" s="1"/>
  <c r="J131" i="33"/>
  <c r="G131" i="33"/>
  <c r="K131" i="33" s="1"/>
  <c r="D131" i="33"/>
  <c r="AF130" i="33"/>
  <c r="AG130" i="33" s="1"/>
  <c r="AD130" i="33"/>
  <c r="AA130" i="33"/>
  <c r="Q130" i="33"/>
  <c r="U130" i="33" s="1"/>
  <c r="K130" i="33"/>
  <c r="J130" i="33"/>
  <c r="G130" i="33"/>
  <c r="D130" i="33"/>
  <c r="AF129" i="33"/>
  <c r="AG129" i="33" s="1"/>
  <c r="AD129" i="33"/>
  <c r="AA129" i="33"/>
  <c r="U129" i="33"/>
  <c r="W129" i="33" s="1"/>
  <c r="Q129" i="33"/>
  <c r="K129" i="33"/>
  <c r="J129" i="33"/>
  <c r="G129" i="33"/>
  <c r="D129" i="33"/>
  <c r="AF128" i="33"/>
  <c r="AG128" i="33" s="1"/>
  <c r="AD128" i="33"/>
  <c r="AA128" i="33"/>
  <c r="Q128" i="33"/>
  <c r="U128" i="33" s="1"/>
  <c r="J128" i="33"/>
  <c r="G128" i="33"/>
  <c r="K128" i="33" s="1"/>
  <c r="D128" i="33"/>
  <c r="AF127" i="33"/>
  <c r="AG127" i="33" s="1"/>
  <c r="AD127" i="33"/>
  <c r="AA127" i="33"/>
  <c r="Q127" i="33"/>
  <c r="U127" i="33" s="1"/>
  <c r="J127" i="33"/>
  <c r="G127" i="33"/>
  <c r="K127" i="33" s="1"/>
  <c r="D127" i="33"/>
  <c r="AF126" i="33"/>
  <c r="AG126" i="33" s="1"/>
  <c r="AD126" i="33"/>
  <c r="AA126" i="33"/>
  <c r="Q126" i="33"/>
  <c r="U126" i="33" s="1"/>
  <c r="K126" i="33"/>
  <c r="J126" i="33"/>
  <c r="G126" i="33"/>
  <c r="D126" i="33"/>
  <c r="AG125" i="33"/>
  <c r="AF125" i="33"/>
  <c r="AD125" i="33"/>
  <c r="AA125" i="33"/>
  <c r="U125" i="33"/>
  <c r="V125" i="33" s="1"/>
  <c r="Q125" i="33"/>
  <c r="J125" i="33"/>
  <c r="G125" i="33"/>
  <c r="K125" i="33" s="1"/>
  <c r="D125" i="33"/>
  <c r="AF124" i="33"/>
  <c r="AG124" i="33" s="1"/>
  <c r="AD124" i="33"/>
  <c r="AA124" i="33"/>
  <c r="U124" i="33"/>
  <c r="W124" i="33" s="1"/>
  <c r="Q124" i="33"/>
  <c r="J124" i="33"/>
  <c r="G124" i="33"/>
  <c r="K124" i="33" s="1"/>
  <c r="D124" i="33"/>
  <c r="AF123" i="33"/>
  <c r="AG123" i="33" s="1"/>
  <c r="AD123" i="33"/>
  <c r="AA123" i="33"/>
  <c r="Q123" i="33"/>
  <c r="U123" i="33" s="1"/>
  <c r="J123" i="33"/>
  <c r="G123" i="33"/>
  <c r="K123" i="33" s="1"/>
  <c r="D123" i="33"/>
  <c r="AG122" i="33"/>
  <c r="AF122" i="33"/>
  <c r="AD122" i="33"/>
  <c r="AA122" i="33"/>
  <c r="Q122" i="33"/>
  <c r="U122" i="33" s="1"/>
  <c r="K122" i="33"/>
  <c r="J122" i="33"/>
  <c r="G122" i="33"/>
  <c r="D122" i="33"/>
  <c r="AF121" i="33"/>
  <c r="AG121" i="33" s="1"/>
  <c r="AD121" i="33"/>
  <c r="AA121" i="33"/>
  <c r="Q121" i="33"/>
  <c r="U121" i="33" s="1"/>
  <c r="J121" i="33"/>
  <c r="G121" i="33"/>
  <c r="K121" i="33" s="1"/>
  <c r="D121" i="33"/>
  <c r="AF120" i="33"/>
  <c r="AG120" i="33" s="1"/>
  <c r="AD120" i="33"/>
  <c r="AA120" i="33"/>
  <c r="Q120" i="33"/>
  <c r="U120" i="33" s="1"/>
  <c r="J120" i="33"/>
  <c r="G120" i="33"/>
  <c r="K120" i="33" s="1"/>
  <c r="D120" i="33"/>
  <c r="AF119" i="33"/>
  <c r="AG119" i="33" s="1"/>
  <c r="AD119" i="33"/>
  <c r="AA119" i="33"/>
  <c r="U119" i="33"/>
  <c r="V119" i="33" s="1"/>
  <c r="Q119" i="33"/>
  <c r="J119" i="33"/>
  <c r="G119" i="33"/>
  <c r="K119" i="33" s="1"/>
  <c r="D119" i="33"/>
  <c r="AF118" i="33"/>
  <c r="AG118" i="33" s="1"/>
  <c r="AD118" i="33"/>
  <c r="AA118" i="33"/>
  <c r="Q118" i="33"/>
  <c r="U118" i="33" s="1"/>
  <c r="W118" i="33" s="1"/>
  <c r="J118" i="33"/>
  <c r="G118" i="33"/>
  <c r="K118" i="33" s="1"/>
  <c r="D118" i="33"/>
  <c r="AF117" i="33"/>
  <c r="AG117" i="33" s="1"/>
  <c r="AD117" i="33"/>
  <c r="AA117" i="33"/>
  <c r="Q117" i="33"/>
  <c r="U117" i="33" s="1"/>
  <c r="J117" i="33"/>
  <c r="G117" i="33"/>
  <c r="K117" i="33" s="1"/>
  <c r="D117" i="33"/>
  <c r="AF116" i="33"/>
  <c r="AG116" i="33" s="1"/>
  <c r="AD116" i="33"/>
  <c r="AA116" i="33"/>
  <c r="Q116" i="33"/>
  <c r="U116" i="33" s="1"/>
  <c r="K116" i="33"/>
  <c r="J116" i="33"/>
  <c r="G116" i="33"/>
  <c r="D116" i="33"/>
  <c r="AF115" i="33"/>
  <c r="AG115" i="33" s="1"/>
  <c r="AD115" i="33"/>
  <c r="AA115" i="33"/>
  <c r="Q115" i="33"/>
  <c r="U115" i="33" s="1"/>
  <c r="W115" i="33" s="1"/>
  <c r="K115" i="33"/>
  <c r="J115" i="33"/>
  <c r="G115" i="33"/>
  <c r="D115" i="33"/>
  <c r="AF114" i="33"/>
  <c r="AG114" i="33" s="1"/>
  <c r="AD114" i="33"/>
  <c r="AA114" i="33"/>
  <c r="Q114" i="33"/>
  <c r="U114" i="33" s="1"/>
  <c r="J114" i="33"/>
  <c r="G114" i="33"/>
  <c r="K114" i="33" s="1"/>
  <c r="D114" i="33"/>
  <c r="AF113" i="33"/>
  <c r="AG113" i="33" s="1"/>
  <c r="AD113" i="33"/>
  <c r="AA113" i="33"/>
  <c r="Q113" i="33"/>
  <c r="U113" i="33" s="1"/>
  <c r="J113" i="33"/>
  <c r="G113" i="33"/>
  <c r="K113" i="33" s="1"/>
  <c r="D113" i="33"/>
  <c r="AF112" i="33"/>
  <c r="AG112" i="33" s="1"/>
  <c r="AD112" i="33"/>
  <c r="AA112" i="33"/>
  <c r="Q112" i="33"/>
  <c r="U112" i="33" s="1"/>
  <c r="J112" i="33"/>
  <c r="G112" i="33"/>
  <c r="D112" i="33"/>
  <c r="AF111" i="33"/>
  <c r="AG111" i="33" s="1"/>
  <c r="AD111" i="33"/>
  <c r="AA111" i="33"/>
  <c r="U111" i="33"/>
  <c r="V111" i="33" s="1"/>
  <c r="Q111" i="33"/>
  <c r="J111" i="33"/>
  <c r="G111" i="33"/>
  <c r="D111" i="33"/>
  <c r="AG110" i="33"/>
  <c r="AF110" i="33"/>
  <c r="AD110" i="33"/>
  <c r="AA110" i="33"/>
  <c r="Q110" i="33"/>
  <c r="U110" i="33" s="1"/>
  <c r="J110" i="33"/>
  <c r="G110" i="33"/>
  <c r="D110" i="33"/>
  <c r="AF109" i="33"/>
  <c r="AG109" i="33" s="1"/>
  <c r="AD109" i="33"/>
  <c r="AA109" i="33"/>
  <c r="Q109" i="33"/>
  <c r="U109" i="33" s="1"/>
  <c r="J109" i="33"/>
  <c r="G109" i="33"/>
  <c r="K109" i="33" s="1"/>
  <c r="D109" i="33"/>
  <c r="AF108" i="33"/>
  <c r="AG108" i="33" s="1"/>
  <c r="AD108" i="33"/>
  <c r="AA108" i="33"/>
  <c r="U108" i="33"/>
  <c r="V108" i="33" s="1"/>
  <c r="Q108" i="33"/>
  <c r="J108" i="33"/>
  <c r="G108" i="33"/>
  <c r="K108" i="33" s="1"/>
  <c r="D108" i="33"/>
  <c r="AF107" i="33"/>
  <c r="AG107" i="33" s="1"/>
  <c r="AD107" i="33"/>
  <c r="AA107" i="33"/>
  <c r="U107" i="33"/>
  <c r="W107" i="33" s="1"/>
  <c r="Q107" i="33"/>
  <c r="J107" i="33"/>
  <c r="G107" i="33"/>
  <c r="K107" i="33" s="1"/>
  <c r="D107" i="33"/>
  <c r="AG106" i="33"/>
  <c r="AF106" i="33"/>
  <c r="AD106" i="33"/>
  <c r="AA106" i="33"/>
  <c r="Q106" i="33"/>
  <c r="U106" i="33" s="1"/>
  <c r="J106" i="33"/>
  <c r="G106" i="33"/>
  <c r="K106" i="33" s="1"/>
  <c r="D106" i="33"/>
  <c r="AF105" i="33"/>
  <c r="AG105" i="33" s="1"/>
  <c r="AD105" i="33"/>
  <c r="AA105" i="33"/>
  <c r="Q105" i="33"/>
  <c r="U105" i="33" s="1"/>
  <c r="K105" i="33"/>
  <c r="J105" i="33"/>
  <c r="G105" i="33"/>
  <c r="D105" i="33"/>
  <c r="AF104" i="33"/>
  <c r="AG104" i="33" s="1"/>
  <c r="AD104" i="33"/>
  <c r="AA104" i="33"/>
  <c r="Q104" i="33"/>
  <c r="U104" i="33" s="1"/>
  <c r="W104" i="33" s="1"/>
  <c r="K104" i="33"/>
  <c r="J104" i="33"/>
  <c r="G104" i="33"/>
  <c r="D104" i="33"/>
  <c r="AF103" i="33"/>
  <c r="AG103" i="33" s="1"/>
  <c r="AD103" i="33"/>
  <c r="AA103" i="33"/>
  <c r="Q103" i="33"/>
  <c r="U103" i="33" s="1"/>
  <c r="J103" i="33"/>
  <c r="G103" i="33"/>
  <c r="K103" i="33" s="1"/>
  <c r="D103" i="33"/>
  <c r="AF102" i="33"/>
  <c r="AG102" i="33" s="1"/>
  <c r="AD102" i="33"/>
  <c r="AA102" i="33"/>
  <c r="Q102" i="33"/>
  <c r="U102" i="33" s="1"/>
  <c r="J102" i="33"/>
  <c r="G102" i="33"/>
  <c r="K102" i="33" s="1"/>
  <c r="D102" i="33"/>
  <c r="AF101" i="33"/>
  <c r="AG101" i="33" s="1"/>
  <c r="AD101" i="33"/>
  <c r="AA101" i="33"/>
  <c r="Q101" i="33"/>
  <c r="U101" i="33" s="1"/>
  <c r="K101" i="33"/>
  <c r="J101" i="33"/>
  <c r="G101" i="33"/>
  <c r="D101" i="33"/>
  <c r="AG100" i="33"/>
  <c r="AF100" i="33"/>
  <c r="AD100" i="33"/>
  <c r="AA100" i="33"/>
  <c r="Q100" i="33"/>
  <c r="U100" i="33" s="1"/>
  <c r="W100" i="33" s="1"/>
  <c r="J100" i="33"/>
  <c r="G100" i="33"/>
  <c r="K100" i="33" s="1"/>
  <c r="D100" i="33"/>
  <c r="AF99" i="33"/>
  <c r="AG99" i="33" s="1"/>
  <c r="AD99" i="33"/>
  <c r="AA99" i="33"/>
  <c r="U99" i="33"/>
  <c r="V99" i="33" s="1"/>
  <c r="Q99" i="33"/>
  <c r="J99" i="33"/>
  <c r="G99" i="33"/>
  <c r="K99" i="33" s="1"/>
  <c r="D99" i="33"/>
  <c r="AF98" i="33"/>
  <c r="AG98" i="33" s="1"/>
  <c r="AD98" i="33"/>
  <c r="AA98" i="33"/>
  <c r="Q98" i="33"/>
  <c r="U98" i="33" s="1"/>
  <c r="J98" i="33"/>
  <c r="G98" i="33"/>
  <c r="K98" i="33" s="1"/>
  <c r="D98" i="33"/>
  <c r="AG97" i="33"/>
  <c r="AF97" i="33"/>
  <c r="AD97" i="33"/>
  <c r="AA97" i="33"/>
  <c r="Q97" i="33"/>
  <c r="U97" i="33" s="1"/>
  <c r="K97" i="33"/>
  <c r="J97" i="33"/>
  <c r="G97" i="33"/>
  <c r="D97" i="33"/>
  <c r="AF96" i="33"/>
  <c r="AG96" i="33" s="1"/>
  <c r="AD96" i="33"/>
  <c r="AA96" i="33"/>
  <c r="Q96" i="33"/>
  <c r="U96" i="33" s="1"/>
  <c r="K96" i="33"/>
  <c r="J96" i="33"/>
  <c r="G96" i="33"/>
  <c r="D96" i="33"/>
  <c r="AF95" i="33"/>
  <c r="AG95" i="33" s="1"/>
  <c r="AD95" i="33"/>
  <c r="AA95" i="33"/>
  <c r="Q95" i="33"/>
  <c r="U95" i="33" s="1"/>
  <c r="J95" i="33"/>
  <c r="G95" i="33"/>
  <c r="D95" i="33"/>
  <c r="AF94" i="33"/>
  <c r="AG94" i="33" s="1"/>
  <c r="AD94" i="33"/>
  <c r="AA94" i="33"/>
  <c r="U94" i="33"/>
  <c r="W94" i="33" s="1"/>
  <c r="Q94" i="33"/>
  <c r="J94" i="33"/>
  <c r="G94" i="33"/>
  <c r="K94" i="33" s="1"/>
  <c r="D94" i="33"/>
  <c r="AF93" i="33"/>
  <c r="AG93" i="33" s="1"/>
  <c r="AD93" i="33"/>
  <c r="AA93" i="33"/>
  <c r="Q93" i="33"/>
  <c r="U93" i="33" s="1"/>
  <c r="J93" i="33"/>
  <c r="G93" i="33"/>
  <c r="K93" i="33" s="1"/>
  <c r="D93" i="33"/>
  <c r="AF92" i="33"/>
  <c r="AG92" i="33" s="1"/>
  <c r="AD92" i="33"/>
  <c r="AA92" i="33"/>
  <c r="Q92" i="33"/>
  <c r="U92" i="33" s="1"/>
  <c r="K92" i="33"/>
  <c r="J92" i="33"/>
  <c r="G92" i="33"/>
  <c r="D92" i="33"/>
  <c r="AF91" i="33"/>
  <c r="AG91" i="33" s="1"/>
  <c r="AD91" i="33"/>
  <c r="AA91" i="33"/>
  <c r="Q91" i="33"/>
  <c r="U91" i="33" s="1"/>
  <c r="J91" i="33"/>
  <c r="G91" i="33"/>
  <c r="K91" i="33" s="1"/>
  <c r="D91" i="33"/>
  <c r="AF90" i="33"/>
  <c r="AG90" i="33" s="1"/>
  <c r="AD90" i="33"/>
  <c r="AA90" i="33"/>
  <c r="Q90" i="33"/>
  <c r="U90" i="33" s="1"/>
  <c r="J90" i="33"/>
  <c r="G90" i="33"/>
  <c r="K90" i="33" s="1"/>
  <c r="D90" i="33"/>
  <c r="AF89" i="33"/>
  <c r="AG89" i="33" s="1"/>
  <c r="AD89" i="33"/>
  <c r="AA89" i="33"/>
  <c r="Q89" i="33"/>
  <c r="U89" i="33" s="1"/>
  <c r="J89" i="33"/>
  <c r="G89" i="33"/>
  <c r="K89" i="33" s="1"/>
  <c r="D89" i="33"/>
  <c r="AF88" i="33"/>
  <c r="AG88" i="33" s="1"/>
  <c r="AD88" i="33"/>
  <c r="AA88" i="33"/>
  <c r="Q88" i="33"/>
  <c r="U88" i="33" s="1"/>
  <c r="J88" i="33"/>
  <c r="G88" i="33"/>
  <c r="K88" i="33" s="1"/>
  <c r="D88" i="33"/>
  <c r="AG87" i="33"/>
  <c r="AF87" i="33"/>
  <c r="AD87" i="33"/>
  <c r="AA87" i="33"/>
  <c r="U87" i="33"/>
  <c r="V87" i="33" s="1"/>
  <c r="Q87" i="33"/>
  <c r="J87" i="33"/>
  <c r="G87" i="33"/>
  <c r="K87" i="33" s="1"/>
  <c r="D87" i="33"/>
  <c r="AF86" i="33"/>
  <c r="AG86" i="33" s="1"/>
  <c r="AD86" i="33"/>
  <c r="AA86" i="33"/>
  <c r="Q86" i="33"/>
  <c r="U86" i="33" s="1"/>
  <c r="V86" i="33" s="1"/>
  <c r="J86" i="33"/>
  <c r="G86" i="33"/>
  <c r="K86" i="33" s="1"/>
  <c r="D86" i="33"/>
  <c r="AF85" i="33"/>
  <c r="AG85" i="33" s="1"/>
  <c r="AD85" i="33"/>
  <c r="AA85" i="33"/>
  <c r="Q85" i="33"/>
  <c r="U85" i="33" s="1"/>
  <c r="K85" i="33"/>
  <c r="J85" i="33"/>
  <c r="G85" i="33"/>
  <c r="D85" i="33"/>
  <c r="AG84" i="33"/>
  <c r="AF84" i="33"/>
  <c r="AD84" i="33"/>
  <c r="AA84" i="33"/>
  <c r="Q84" i="33"/>
  <c r="U84" i="33" s="1"/>
  <c r="K84" i="33"/>
  <c r="J84" i="33"/>
  <c r="G84" i="33"/>
  <c r="D84" i="33"/>
  <c r="AF83" i="33"/>
  <c r="AG83" i="33" s="1"/>
  <c r="AD83" i="33"/>
  <c r="AA83" i="33"/>
  <c r="Q83" i="33"/>
  <c r="U83" i="33" s="1"/>
  <c r="K83" i="33"/>
  <c r="J83" i="33"/>
  <c r="G83" i="33"/>
  <c r="D83" i="33"/>
  <c r="AG82" i="33"/>
  <c r="AF82" i="33"/>
  <c r="AD82" i="33"/>
  <c r="AA82" i="33"/>
  <c r="Q82" i="33"/>
  <c r="U82" i="33" s="1"/>
  <c r="J82" i="33"/>
  <c r="G82" i="33"/>
  <c r="K82" i="33" s="1"/>
  <c r="D82" i="33"/>
  <c r="AF81" i="33"/>
  <c r="AG81" i="33" s="1"/>
  <c r="AD81" i="33"/>
  <c r="AA81" i="33"/>
  <c r="U81" i="33"/>
  <c r="V81" i="33" s="1"/>
  <c r="Q81" i="33"/>
  <c r="J81" i="33"/>
  <c r="G81" i="33"/>
  <c r="K81" i="33" s="1"/>
  <c r="D81" i="33"/>
  <c r="AG80" i="33"/>
  <c r="AF80" i="33"/>
  <c r="AD80" i="33"/>
  <c r="AA80" i="33"/>
  <c r="U80" i="33"/>
  <c r="W80" i="33" s="1"/>
  <c r="Q80" i="33"/>
  <c r="J80" i="33"/>
  <c r="G80" i="33"/>
  <c r="K80" i="33" s="1"/>
  <c r="D80" i="33"/>
  <c r="AF79" i="33"/>
  <c r="AG79" i="33" s="1"/>
  <c r="AD79" i="33"/>
  <c r="AA79" i="33"/>
  <c r="Q79" i="33"/>
  <c r="U79" i="33" s="1"/>
  <c r="J79" i="33"/>
  <c r="G79" i="33"/>
  <c r="K79" i="33" s="1"/>
  <c r="D79" i="33"/>
  <c r="AF78" i="33"/>
  <c r="AG78" i="33" s="1"/>
  <c r="AD78" i="33"/>
  <c r="AA78" i="33"/>
  <c r="Q78" i="33"/>
  <c r="U78" i="33" s="1"/>
  <c r="K78" i="33"/>
  <c r="J78" i="33"/>
  <c r="G78" i="33"/>
  <c r="D78" i="33"/>
  <c r="AF77" i="33"/>
  <c r="AG77" i="33" s="1"/>
  <c r="AD77" i="33"/>
  <c r="AA77" i="33"/>
  <c r="Q77" i="33"/>
  <c r="U77" i="33" s="1"/>
  <c r="K77" i="33"/>
  <c r="J77" i="33"/>
  <c r="G77" i="33"/>
  <c r="D77" i="33"/>
  <c r="AF76" i="33"/>
  <c r="AG76" i="33" s="1"/>
  <c r="AD76" i="33"/>
  <c r="AA76" i="33"/>
  <c r="Q76" i="33"/>
  <c r="U76" i="33" s="1"/>
  <c r="J76" i="33"/>
  <c r="G76" i="33"/>
  <c r="K76" i="33" s="1"/>
  <c r="D76" i="33"/>
  <c r="AF75" i="33"/>
  <c r="AG75" i="33" s="1"/>
  <c r="AD75" i="33"/>
  <c r="AA75" i="33"/>
  <c r="Q75" i="33"/>
  <c r="U75" i="33" s="1"/>
  <c r="J75" i="33"/>
  <c r="G75" i="33"/>
  <c r="K75" i="33" s="1"/>
  <c r="D75" i="33"/>
  <c r="AF74" i="33"/>
  <c r="AG74" i="33" s="1"/>
  <c r="AD74" i="33"/>
  <c r="AA74" i="33"/>
  <c r="Q74" i="33"/>
  <c r="U74" i="33" s="1"/>
  <c r="J74" i="33"/>
  <c r="G74" i="33"/>
  <c r="K74" i="33" s="1"/>
  <c r="D74" i="33"/>
  <c r="AG73" i="33"/>
  <c r="AF73" i="33"/>
  <c r="AD73" i="33"/>
  <c r="AA73" i="33"/>
  <c r="U73" i="33"/>
  <c r="W73" i="33" s="1"/>
  <c r="Q73" i="33"/>
  <c r="K73" i="33"/>
  <c r="J73" i="33"/>
  <c r="G73" i="33"/>
  <c r="D73" i="33"/>
  <c r="AF72" i="33"/>
  <c r="AG72" i="33" s="1"/>
  <c r="AD72" i="33"/>
  <c r="AA72" i="33"/>
  <c r="Q72" i="33"/>
  <c r="U72" i="33" s="1"/>
  <c r="W72" i="33" s="1"/>
  <c r="J72" i="33"/>
  <c r="G72" i="33"/>
  <c r="K72" i="33" s="1"/>
  <c r="D72" i="33"/>
  <c r="AF71" i="33"/>
  <c r="AG71" i="33" s="1"/>
  <c r="AD71" i="33"/>
  <c r="AA71" i="33"/>
  <c r="Q71" i="33"/>
  <c r="U71" i="33" s="1"/>
  <c r="K71" i="33"/>
  <c r="J71" i="33"/>
  <c r="G71" i="33"/>
  <c r="D71" i="33"/>
  <c r="AF70" i="33"/>
  <c r="AG70" i="33" s="1"/>
  <c r="AD70" i="33"/>
  <c r="AA70" i="33"/>
  <c r="Q70" i="33"/>
  <c r="U70" i="33" s="1"/>
  <c r="K70" i="33"/>
  <c r="J70" i="33"/>
  <c r="D70" i="33"/>
  <c r="AF69" i="33"/>
  <c r="AG69" i="33" s="1"/>
  <c r="AD69" i="33"/>
  <c r="AA69" i="33"/>
  <c r="Q69" i="33"/>
  <c r="U69" i="33" s="1"/>
  <c r="J69" i="33"/>
  <c r="G69" i="33"/>
  <c r="K69" i="33" s="1"/>
  <c r="D69" i="33"/>
  <c r="AG68" i="33"/>
  <c r="AF68" i="33"/>
  <c r="AD68" i="33"/>
  <c r="AA68" i="33"/>
  <c r="U68" i="33"/>
  <c r="V68" i="33" s="1"/>
  <c r="Q68" i="33"/>
  <c r="J68" i="33"/>
  <c r="G68" i="33"/>
  <c r="K68" i="33" s="1"/>
  <c r="D68" i="33"/>
  <c r="AF67" i="33"/>
  <c r="AG67" i="33" s="1"/>
  <c r="AD67" i="33"/>
  <c r="AA67" i="33"/>
  <c r="U67" i="33"/>
  <c r="W67" i="33" s="1"/>
  <c r="Q67" i="33"/>
  <c r="J67" i="33"/>
  <c r="G67" i="33"/>
  <c r="K67" i="33" s="1"/>
  <c r="D67" i="33"/>
  <c r="AG66" i="33"/>
  <c r="AF66" i="33"/>
  <c r="AD66" i="33"/>
  <c r="AA66" i="33"/>
  <c r="Q66" i="33"/>
  <c r="U66" i="33" s="1"/>
  <c r="J66" i="33"/>
  <c r="G66" i="33"/>
  <c r="K66" i="33" s="1"/>
  <c r="D66" i="33"/>
  <c r="AF65" i="33"/>
  <c r="AG65" i="33" s="1"/>
  <c r="AD65" i="33"/>
  <c r="AA65" i="33"/>
  <c r="Q65" i="33"/>
  <c r="U65" i="33" s="1"/>
  <c r="K65" i="33"/>
  <c r="J65" i="33"/>
  <c r="G65" i="33"/>
  <c r="D65" i="33"/>
  <c r="AF64" i="33"/>
  <c r="AG64" i="33" s="1"/>
  <c r="AD64" i="33"/>
  <c r="AA64" i="33"/>
  <c r="Q64" i="33"/>
  <c r="U64" i="33" s="1"/>
  <c r="K64" i="33"/>
  <c r="J64" i="33"/>
  <c r="G64" i="33"/>
  <c r="D64" i="33"/>
  <c r="AF63" i="33"/>
  <c r="AG63" i="33" s="1"/>
  <c r="AD63" i="33"/>
  <c r="AA63" i="33"/>
  <c r="Q63" i="33"/>
  <c r="U63" i="33" s="1"/>
  <c r="J63" i="33"/>
  <c r="G63" i="33"/>
  <c r="K63" i="33" s="1"/>
  <c r="D63" i="33"/>
  <c r="AF62" i="33"/>
  <c r="AG62" i="33" s="1"/>
  <c r="AD62" i="33"/>
  <c r="AA62" i="33"/>
  <c r="Q62" i="33"/>
  <c r="U62" i="33" s="1"/>
  <c r="J62" i="33"/>
  <c r="G62" i="33"/>
  <c r="K62" i="33" s="1"/>
  <c r="D62" i="33"/>
  <c r="AF61" i="33"/>
  <c r="AG61" i="33" s="1"/>
  <c r="AD61" i="33"/>
  <c r="AA61" i="33"/>
  <c r="Q61" i="33"/>
  <c r="U61" i="33" s="1"/>
  <c r="J61" i="33"/>
  <c r="G61" i="33"/>
  <c r="K61" i="33" s="1"/>
  <c r="D61" i="33"/>
  <c r="AG60" i="33"/>
  <c r="AF60" i="33"/>
  <c r="AD60" i="33"/>
  <c r="AA60" i="33"/>
  <c r="U60" i="33"/>
  <c r="V60" i="33" s="1"/>
  <c r="Q60" i="33"/>
  <c r="K60" i="33"/>
  <c r="J60" i="33"/>
  <c r="G60" i="33"/>
  <c r="D60" i="33"/>
  <c r="AF59" i="33"/>
  <c r="AG59" i="33" s="1"/>
  <c r="AD59" i="33"/>
  <c r="AA59" i="33"/>
  <c r="U59" i="33"/>
  <c r="V59" i="33" s="1"/>
  <c r="Q59" i="33"/>
  <c r="K59" i="33"/>
  <c r="J59" i="33"/>
  <c r="G59" i="33"/>
  <c r="D59" i="33"/>
  <c r="AF58" i="33"/>
  <c r="AG58" i="33" s="1"/>
  <c r="AD58" i="33"/>
  <c r="AA58" i="33"/>
  <c r="Q58" i="33"/>
  <c r="U58" i="33" s="1"/>
  <c r="J58" i="33"/>
  <c r="G58" i="33"/>
  <c r="K58" i="33" s="1"/>
  <c r="D58" i="33"/>
  <c r="AF57" i="33"/>
  <c r="AG57" i="33" s="1"/>
  <c r="AD57" i="33"/>
  <c r="AA57" i="33"/>
  <c r="Q57" i="33"/>
  <c r="U57" i="33" s="1"/>
  <c r="K57" i="33"/>
  <c r="J57" i="33"/>
  <c r="G57" i="33"/>
  <c r="D57" i="33"/>
  <c r="AG56" i="33"/>
  <c r="AF56" i="33"/>
  <c r="AD56" i="33"/>
  <c r="AA56" i="33"/>
  <c r="Q56" i="33"/>
  <c r="U56" i="33" s="1"/>
  <c r="K56" i="33"/>
  <c r="J56" i="33"/>
  <c r="G56" i="33"/>
  <c r="D56" i="33"/>
  <c r="AG55" i="33"/>
  <c r="AF55" i="33"/>
  <c r="AD55" i="33"/>
  <c r="AA55" i="33"/>
  <c r="Q55" i="33"/>
  <c r="U55" i="33" s="1"/>
  <c r="J55" i="33"/>
  <c r="G55" i="33"/>
  <c r="K55" i="33" s="1"/>
  <c r="D55" i="33"/>
  <c r="AF54" i="33"/>
  <c r="AG54" i="33" s="1"/>
  <c r="AD54" i="33"/>
  <c r="AA54" i="33"/>
  <c r="Q54" i="33"/>
  <c r="U54" i="33" s="1"/>
  <c r="V54" i="33" s="1"/>
  <c r="J54" i="33"/>
  <c r="G54" i="33"/>
  <c r="K54" i="33" s="1"/>
  <c r="D54" i="33"/>
  <c r="AF53" i="33"/>
  <c r="AG53" i="33" s="1"/>
  <c r="AD53" i="33"/>
  <c r="AA53" i="33"/>
  <c r="U53" i="33"/>
  <c r="W53" i="33" s="1"/>
  <c r="Q53" i="33"/>
  <c r="J53" i="33"/>
  <c r="G53" i="33"/>
  <c r="K53" i="33" s="1"/>
  <c r="D53" i="33"/>
  <c r="AG52" i="33"/>
  <c r="AF52" i="33"/>
  <c r="AD52" i="33"/>
  <c r="AA52" i="33"/>
  <c r="Q52" i="33"/>
  <c r="U52" i="33" s="1"/>
  <c r="J52" i="33"/>
  <c r="G52" i="33"/>
  <c r="K52" i="33" s="1"/>
  <c r="D52" i="33"/>
  <c r="AF51" i="33"/>
  <c r="AG51" i="33" s="1"/>
  <c r="AD51" i="33"/>
  <c r="AA51" i="33"/>
  <c r="Q51" i="33"/>
  <c r="U51" i="33" s="1"/>
  <c r="K51" i="33"/>
  <c r="J51" i="33"/>
  <c r="G51" i="33"/>
  <c r="D51" i="33"/>
  <c r="AF50" i="33"/>
  <c r="AG50" i="33" s="1"/>
  <c r="AD50" i="33"/>
  <c r="AA50" i="33"/>
  <c r="Q50" i="33"/>
  <c r="U50" i="33" s="1"/>
  <c r="K50" i="33"/>
  <c r="J50" i="33"/>
  <c r="G50" i="33"/>
  <c r="D50" i="33"/>
  <c r="AF49" i="33"/>
  <c r="AG49" i="33" s="1"/>
  <c r="AD49" i="33"/>
  <c r="AA49" i="33"/>
  <c r="Q49" i="33"/>
  <c r="U49" i="33" s="1"/>
  <c r="J49" i="33"/>
  <c r="G49" i="33"/>
  <c r="K49" i="33" s="1"/>
  <c r="D49" i="33"/>
  <c r="AF48" i="33"/>
  <c r="AG48" i="33" s="1"/>
  <c r="AD48" i="33"/>
  <c r="AA48" i="33"/>
  <c r="Q48" i="33"/>
  <c r="U48" i="33" s="1"/>
  <c r="J48" i="33"/>
  <c r="G48" i="33"/>
  <c r="K48" i="33" s="1"/>
  <c r="D48" i="33"/>
  <c r="AF47" i="33"/>
  <c r="AG47" i="33" s="1"/>
  <c r="AD47" i="33"/>
  <c r="AA47" i="33"/>
  <c r="Q47" i="33"/>
  <c r="U47" i="33" s="1"/>
  <c r="J47" i="33"/>
  <c r="G47" i="33"/>
  <c r="K47" i="33" s="1"/>
  <c r="D47" i="33"/>
  <c r="AG46" i="33"/>
  <c r="AF46" i="33"/>
  <c r="AD46" i="33"/>
  <c r="AA46" i="33"/>
  <c r="U46" i="33"/>
  <c r="V46" i="33" s="1"/>
  <c r="Q46" i="33"/>
  <c r="J46" i="33"/>
  <c r="G46" i="33"/>
  <c r="K46" i="33" s="1"/>
  <c r="D46" i="33"/>
  <c r="AF45" i="33"/>
  <c r="AG45" i="33" s="1"/>
  <c r="AD45" i="33"/>
  <c r="AA45" i="33"/>
  <c r="U45" i="33"/>
  <c r="V45" i="33" s="1"/>
  <c r="Q45" i="33"/>
  <c r="K45" i="33"/>
  <c r="J45" i="33"/>
  <c r="G45" i="33"/>
  <c r="D45" i="33"/>
  <c r="AF44" i="33"/>
  <c r="AG44" i="33" s="1"/>
  <c r="AD44" i="33"/>
  <c r="AA44" i="33"/>
  <c r="Q44" i="33"/>
  <c r="U44" i="33" s="1"/>
  <c r="J44" i="33"/>
  <c r="G44" i="33"/>
  <c r="K44" i="33" s="1"/>
  <c r="D44" i="33"/>
  <c r="AF43" i="33"/>
  <c r="AG43" i="33" s="1"/>
  <c r="AD43" i="33"/>
  <c r="AA43" i="33"/>
  <c r="Q43" i="33"/>
  <c r="U43" i="33" s="1"/>
  <c r="K43" i="33"/>
  <c r="J43" i="33"/>
  <c r="G43" i="33"/>
  <c r="D43" i="33"/>
  <c r="AG42" i="33"/>
  <c r="AF42" i="33"/>
  <c r="AD42" i="33"/>
  <c r="AA42" i="33"/>
  <c r="Q42" i="33"/>
  <c r="U42" i="33" s="1"/>
  <c r="J42" i="33"/>
  <c r="G42" i="33"/>
  <c r="D42" i="33"/>
  <c r="AF41" i="33"/>
  <c r="AG41" i="33" s="1"/>
  <c r="AD41" i="33"/>
  <c r="AA41" i="33"/>
  <c r="U41" i="33"/>
  <c r="V41" i="33" s="1"/>
  <c r="Q41" i="33"/>
  <c r="J41" i="33"/>
  <c r="G41" i="33"/>
  <c r="D41" i="33"/>
  <c r="AG40" i="33"/>
  <c r="AF40" i="33"/>
  <c r="AD40" i="33"/>
  <c r="AA40" i="33"/>
  <c r="Q40" i="33"/>
  <c r="U40" i="33" s="1"/>
  <c r="J40" i="33"/>
  <c r="G40" i="33"/>
  <c r="K40" i="33" s="1"/>
  <c r="D40" i="33"/>
  <c r="AF39" i="33"/>
  <c r="AG39" i="33" s="1"/>
  <c r="AD39" i="33"/>
  <c r="AA39" i="33"/>
  <c r="Q39" i="33"/>
  <c r="U39" i="33" s="1"/>
  <c r="K39" i="33"/>
  <c r="J39" i="33"/>
  <c r="G39" i="33"/>
  <c r="D39" i="33"/>
  <c r="AF38" i="33"/>
  <c r="AG38" i="33" s="1"/>
  <c r="AD38" i="33"/>
  <c r="AA38" i="33"/>
  <c r="Q38" i="33"/>
  <c r="U38" i="33" s="1"/>
  <c r="K38" i="33"/>
  <c r="J38" i="33"/>
  <c r="G38" i="33"/>
  <c r="D38" i="33"/>
  <c r="AF37" i="33"/>
  <c r="AG37" i="33" s="1"/>
  <c r="AD37" i="33"/>
  <c r="AA37" i="33"/>
  <c r="Q37" i="33"/>
  <c r="U37" i="33" s="1"/>
  <c r="J37" i="33"/>
  <c r="G37" i="33"/>
  <c r="K37" i="33" s="1"/>
  <c r="D37" i="33"/>
  <c r="AF36" i="33"/>
  <c r="AG36" i="33" s="1"/>
  <c r="AD36" i="33"/>
  <c r="AA36" i="33"/>
  <c r="Q36" i="33"/>
  <c r="U36" i="33" s="1"/>
  <c r="J36" i="33"/>
  <c r="G36" i="33"/>
  <c r="K36" i="33" s="1"/>
  <c r="D36" i="33"/>
  <c r="AF35" i="33"/>
  <c r="AG35" i="33" s="1"/>
  <c r="AD35" i="33"/>
  <c r="AA35" i="33"/>
  <c r="W35" i="33"/>
  <c r="V35" i="33"/>
  <c r="U35" i="33"/>
  <c r="Q35" i="33"/>
  <c r="K35" i="33"/>
  <c r="J35" i="33"/>
  <c r="G35" i="33"/>
  <c r="D35" i="33"/>
  <c r="AG34" i="33"/>
  <c r="AF34" i="33"/>
  <c r="AD34" i="33"/>
  <c r="AA34" i="33"/>
  <c r="U34" i="33"/>
  <c r="V34" i="33" s="1"/>
  <c r="Q34" i="33"/>
  <c r="J34" i="33"/>
  <c r="G34" i="33"/>
  <c r="K34" i="33" s="1"/>
  <c r="D34" i="33"/>
  <c r="AF33" i="33"/>
  <c r="AG33" i="33" s="1"/>
  <c r="AD33" i="33"/>
  <c r="AA33" i="33"/>
  <c r="U33" i="33"/>
  <c r="V33" i="33" s="1"/>
  <c r="Q33" i="33"/>
  <c r="K33" i="33"/>
  <c r="J33" i="33"/>
  <c r="G33" i="33"/>
  <c r="D33" i="33"/>
  <c r="AF32" i="33"/>
  <c r="AG32" i="33" s="1"/>
  <c r="AD32" i="33"/>
  <c r="AA32" i="33"/>
  <c r="Q32" i="33"/>
  <c r="U32" i="33" s="1"/>
  <c r="J32" i="33"/>
  <c r="G32" i="33"/>
  <c r="K32" i="33" s="1"/>
  <c r="D32" i="33"/>
  <c r="AF31" i="33"/>
  <c r="AG31" i="33" s="1"/>
  <c r="AD31" i="33"/>
  <c r="AA31" i="33"/>
  <c r="Q31" i="33"/>
  <c r="U31" i="33" s="1"/>
  <c r="K31" i="33"/>
  <c r="J31" i="33"/>
  <c r="G31" i="33"/>
  <c r="D31" i="33"/>
  <c r="AF30" i="33"/>
  <c r="AG30" i="33" s="1"/>
  <c r="AD30" i="33"/>
  <c r="AA30" i="33"/>
  <c r="Q30" i="33"/>
  <c r="U30" i="33" s="1"/>
  <c r="K30" i="33"/>
  <c r="J30" i="33"/>
  <c r="G30" i="33"/>
  <c r="D30" i="33"/>
  <c r="AF29" i="33"/>
  <c r="AG29" i="33" s="1"/>
  <c r="AD29" i="33"/>
  <c r="AA29" i="33"/>
  <c r="Q29" i="33"/>
  <c r="U29" i="33" s="1"/>
  <c r="J29" i="33"/>
  <c r="G29" i="33"/>
  <c r="K29" i="33" s="1"/>
  <c r="D29" i="33"/>
  <c r="AF28" i="33"/>
  <c r="AG28" i="33" s="1"/>
  <c r="AD28" i="33"/>
  <c r="AA28" i="33"/>
  <c r="U28" i="33"/>
  <c r="V28" i="33" s="1"/>
  <c r="Q28" i="33"/>
  <c r="J28" i="33"/>
  <c r="G28" i="33"/>
  <c r="K28" i="33" s="1"/>
  <c r="D28" i="33"/>
  <c r="AF27" i="33"/>
  <c r="AG27" i="33" s="1"/>
  <c r="AD27" i="33"/>
  <c r="AA27" i="33"/>
  <c r="U27" i="33"/>
  <c r="W27" i="33" s="1"/>
  <c r="Q27" i="33"/>
  <c r="J27" i="33"/>
  <c r="G27" i="33"/>
  <c r="K27" i="33" s="1"/>
  <c r="D27" i="33"/>
  <c r="AG26" i="33"/>
  <c r="AF26" i="33"/>
  <c r="AD26" i="33"/>
  <c r="AA26" i="33"/>
  <c r="Q26" i="33"/>
  <c r="U26" i="33" s="1"/>
  <c r="J26" i="33"/>
  <c r="G26" i="33"/>
  <c r="K26" i="33" s="1"/>
  <c r="D26" i="33"/>
  <c r="AF25" i="33"/>
  <c r="AG25" i="33" s="1"/>
  <c r="AD25" i="33"/>
  <c r="AA25" i="33"/>
  <c r="Q25" i="33"/>
  <c r="U25" i="33" s="1"/>
  <c r="K25" i="33"/>
  <c r="J25" i="33"/>
  <c r="G25" i="33"/>
  <c r="D25" i="33"/>
  <c r="AF24" i="33"/>
  <c r="AG24" i="33" s="1"/>
  <c r="AD24" i="33"/>
  <c r="AA24" i="33"/>
  <c r="Q24" i="33"/>
  <c r="U24" i="33" s="1"/>
  <c r="K24" i="33"/>
  <c r="J24" i="33"/>
  <c r="G24" i="33"/>
  <c r="D24" i="33"/>
  <c r="AF23" i="33"/>
  <c r="AG23" i="33" s="1"/>
  <c r="AD23" i="33"/>
  <c r="AA23" i="33"/>
  <c r="Q23" i="33"/>
  <c r="U23" i="33" s="1"/>
  <c r="J23" i="33"/>
  <c r="G23" i="33"/>
  <c r="K23" i="33" s="1"/>
  <c r="D23" i="33"/>
  <c r="AF22" i="33"/>
  <c r="AG22" i="33" s="1"/>
  <c r="AD22" i="33"/>
  <c r="AA22" i="33"/>
  <c r="W22" i="33"/>
  <c r="U22" i="33"/>
  <c r="V22" i="33" s="1"/>
  <c r="Q22" i="33"/>
  <c r="J22" i="33"/>
  <c r="G22" i="33"/>
  <c r="K22" i="33" s="1"/>
  <c r="D22" i="33"/>
  <c r="AF21" i="33"/>
  <c r="AG21" i="33" s="1"/>
  <c r="AD21" i="33"/>
  <c r="AA21" i="33"/>
  <c r="Q21" i="33"/>
  <c r="U21" i="33" s="1"/>
  <c r="J21" i="33"/>
  <c r="G21" i="33"/>
  <c r="K21" i="33" s="1"/>
  <c r="D21" i="33"/>
  <c r="AG20" i="33"/>
  <c r="AF20" i="33"/>
  <c r="AD20" i="33"/>
  <c r="AA20" i="33"/>
  <c r="U20" i="33"/>
  <c r="W20" i="33" s="1"/>
  <c r="Q20" i="33"/>
  <c r="K20" i="33"/>
  <c r="J20" i="33"/>
  <c r="D20" i="33"/>
  <c r="AF19" i="33"/>
  <c r="AG19" i="33" s="1"/>
  <c r="AD19" i="33"/>
  <c r="AA19" i="33"/>
  <c r="Q19" i="33"/>
  <c r="U19" i="33" s="1"/>
  <c r="J19" i="33"/>
  <c r="G19" i="33"/>
  <c r="K19" i="33" s="1"/>
  <c r="D19" i="33"/>
  <c r="AG18" i="33"/>
  <c r="AF18" i="33"/>
  <c r="AD18" i="33"/>
  <c r="AA18" i="33"/>
  <c r="Q18" i="33"/>
  <c r="U18" i="33" s="1"/>
  <c r="K18" i="33"/>
  <c r="J18" i="33"/>
  <c r="G18" i="33"/>
  <c r="D18" i="33"/>
  <c r="AF17" i="33"/>
  <c r="AG17" i="33" s="1"/>
  <c r="AD17" i="33"/>
  <c r="AA17" i="33"/>
  <c r="Q17" i="33"/>
  <c r="U17" i="33" s="1"/>
  <c r="K17" i="33"/>
  <c r="J17" i="33"/>
  <c r="G17" i="33"/>
  <c r="D17" i="33"/>
  <c r="AG16" i="33"/>
  <c r="AF16" i="33"/>
  <c r="AD16" i="33"/>
  <c r="AA16" i="33"/>
  <c r="Q16" i="33"/>
  <c r="U16" i="33" s="1"/>
  <c r="J16" i="33"/>
  <c r="G16" i="33"/>
  <c r="K16" i="33" s="1"/>
  <c r="D16" i="33"/>
  <c r="AF15" i="33"/>
  <c r="AG15" i="33" s="1"/>
  <c r="AD15" i="33"/>
  <c r="AA15" i="33"/>
  <c r="U15" i="33"/>
  <c r="V15" i="33" s="1"/>
  <c r="Q15" i="33"/>
  <c r="J15" i="33"/>
  <c r="G15" i="33"/>
  <c r="K15" i="33" s="1"/>
  <c r="D15" i="33"/>
  <c r="AF14" i="33"/>
  <c r="AG14" i="33" s="1"/>
  <c r="AD14" i="33"/>
  <c r="AA14" i="33"/>
  <c r="U14" i="33"/>
  <c r="W14" i="33" s="1"/>
  <c r="Q14" i="33"/>
  <c r="J14" i="33"/>
  <c r="G14" i="33"/>
  <c r="K14" i="33" s="1"/>
  <c r="D14" i="33"/>
  <c r="AG13" i="33"/>
  <c r="AF13" i="33"/>
  <c r="AD13" i="33"/>
  <c r="AA13" i="33"/>
  <c r="Q13" i="33"/>
  <c r="U13" i="33" s="1"/>
  <c r="J13" i="33"/>
  <c r="G13" i="33"/>
  <c r="K13" i="33" s="1"/>
  <c r="D13" i="33"/>
  <c r="AF12" i="33"/>
  <c r="AG12" i="33" s="1"/>
  <c r="AD12" i="33"/>
  <c r="AA12" i="33"/>
  <c r="Q12" i="33"/>
  <c r="U12" i="33" s="1"/>
  <c r="K12" i="33"/>
  <c r="J12" i="33"/>
  <c r="G12" i="33"/>
  <c r="D12" i="33"/>
  <c r="AF11" i="33"/>
  <c r="AG11" i="33" s="1"/>
  <c r="AD11" i="33"/>
  <c r="AA11" i="33"/>
  <c r="Q11" i="33"/>
  <c r="U11" i="33" s="1"/>
  <c r="K11" i="33"/>
  <c r="J11" i="33"/>
  <c r="G11" i="33"/>
  <c r="D11" i="33"/>
  <c r="AF10" i="33"/>
  <c r="AG10" i="33" s="1"/>
  <c r="AD10" i="33"/>
  <c r="AA10" i="33"/>
  <c r="Q10" i="33"/>
  <c r="U10" i="33" s="1"/>
  <c r="J10" i="33"/>
  <c r="G10" i="33"/>
  <c r="K10" i="33" s="1"/>
  <c r="D10" i="33"/>
  <c r="AF9" i="33"/>
  <c r="AG9" i="33" s="1"/>
  <c r="AD9" i="33"/>
  <c r="AA9" i="33"/>
  <c r="W9" i="33"/>
  <c r="U9" i="33"/>
  <c r="V9" i="33" s="1"/>
  <c r="Q9" i="33"/>
  <c r="J9" i="33"/>
  <c r="G9" i="33"/>
  <c r="K9" i="33" s="1"/>
  <c r="D9" i="33"/>
  <c r="AF8" i="33"/>
  <c r="AG8" i="33" s="1"/>
  <c r="AD8" i="33"/>
  <c r="AA8" i="33"/>
  <c r="Q8" i="33"/>
  <c r="U8" i="33" s="1"/>
  <c r="K8" i="33"/>
  <c r="J8" i="33"/>
  <c r="G8" i="33"/>
  <c r="D8" i="33"/>
  <c r="AG7" i="33"/>
  <c r="AF7" i="33"/>
  <c r="AD7" i="33"/>
  <c r="AA7" i="33"/>
  <c r="U7" i="33"/>
  <c r="V7" i="33" s="1"/>
  <c r="Q7" i="33"/>
  <c r="J7" i="33"/>
  <c r="G7" i="33"/>
  <c r="K7" i="33" s="1"/>
  <c r="D7" i="33"/>
  <c r="AF6" i="33"/>
  <c r="AG6" i="33" s="1"/>
  <c r="AD6" i="33"/>
  <c r="AA6" i="33"/>
  <c r="U6" i="33"/>
  <c r="V6" i="33" s="1"/>
  <c r="Q6" i="33"/>
  <c r="K6" i="33"/>
  <c r="J6" i="33"/>
  <c r="G6" i="33"/>
  <c r="D6" i="33"/>
  <c r="AF5" i="33"/>
  <c r="AG5" i="33" s="1"/>
  <c r="AD5" i="33"/>
  <c r="AA5" i="33"/>
  <c r="Q5" i="33"/>
  <c r="U5" i="33" s="1"/>
  <c r="J5" i="33"/>
  <c r="G5" i="33"/>
  <c r="K5" i="33" s="1"/>
  <c r="D5" i="33"/>
  <c r="AG4" i="33"/>
  <c r="AF4" i="33"/>
  <c r="AD4" i="33"/>
  <c r="AA4" i="33"/>
  <c r="Q4" i="33"/>
  <c r="U4" i="33" s="1"/>
  <c r="K4" i="33"/>
  <c r="J4" i="33"/>
  <c r="G4" i="33"/>
  <c r="D4" i="33"/>
  <c r="AF3" i="33"/>
  <c r="AG3" i="33" s="1"/>
  <c r="AD3" i="33"/>
  <c r="AA3" i="33"/>
  <c r="Q3" i="33"/>
  <c r="U3" i="33" s="1"/>
  <c r="K3" i="33"/>
  <c r="J3" i="33"/>
  <c r="G3" i="33"/>
  <c r="D3" i="33"/>
  <c r="K2" i="33"/>
  <c r="J2" i="33"/>
  <c r="D11" i="30"/>
  <c r="E11" i="30"/>
  <c r="D12" i="30"/>
  <c r="E12" i="30"/>
  <c r="D13" i="30"/>
  <c r="E13" i="30"/>
  <c r="D14" i="30"/>
  <c r="E14" i="30"/>
  <c r="D15" i="30"/>
  <c r="E15" i="30"/>
  <c r="D16" i="30"/>
  <c r="E16" i="30"/>
  <c r="D17" i="30"/>
  <c r="E17" i="30"/>
  <c r="D18" i="30"/>
  <c r="E18" i="30"/>
  <c r="D19" i="30"/>
  <c r="E19" i="30"/>
  <c r="D20" i="30"/>
  <c r="E20" i="30"/>
  <c r="D21" i="30"/>
  <c r="E21" i="30"/>
  <c r="D22" i="30"/>
  <c r="E22" i="30"/>
  <c r="D23" i="30"/>
  <c r="E23" i="30"/>
  <c r="D24" i="30"/>
  <c r="E24" i="30"/>
  <c r="G15" i="30"/>
  <c r="G16" i="30"/>
  <c r="G17" i="30"/>
  <c r="G18" i="30"/>
  <c r="G19" i="30"/>
  <c r="G20" i="30"/>
  <c r="G21" i="30"/>
  <c r="G22" i="30"/>
  <c r="G23" i="30"/>
  <c r="G24" i="30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B95" i="32"/>
  <c r="B94" i="32"/>
  <c r="B93" i="32"/>
  <c r="B92" i="32"/>
  <c r="B91" i="32"/>
  <c r="B90" i="32"/>
  <c r="B88" i="32"/>
  <c r="B87" i="32"/>
  <c r="B86" i="32"/>
  <c r="B85" i="32"/>
  <c r="B84" i="32"/>
  <c r="B83" i="32"/>
  <c r="B82" i="32"/>
  <c r="B81" i="32"/>
  <c r="B80" i="32"/>
  <c r="B79" i="32"/>
  <c r="B78" i="32"/>
  <c r="B77" i="32"/>
  <c r="B76" i="32"/>
  <c r="B75" i="32"/>
  <c r="B74" i="32"/>
  <c r="B73" i="32"/>
  <c r="B72" i="32"/>
  <c r="B71" i="32"/>
  <c r="B70" i="32"/>
  <c r="B69" i="32"/>
  <c r="B68" i="32"/>
  <c r="B67" i="32"/>
  <c r="B66" i="32"/>
  <c r="B65" i="32"/>
  <c r="B64" i="32"/>
  <c r="B63" i="32"/>
  <c r="B62" i="32"/>
  <c r="B60" i="32"/>
  <c r="B59" i="32"/>
  <c r="B58" i="32"/>
  <c r="B57" i="32"/>
  <c r="B56" i="32"/>
  <c r="B54" i="32"/>
  <c r="B53" i="32"/>
  <c r="B52" i="32"/>
  <c r="B51" i="32"/>
  <c r="B50" i="32"/>
  <c r="B49" i="32"/>
  <c r="B48" i="32"/>
  <c r="B47" i="32"/>
  <c r="B46" i="32"/>
  <c r="B45" i="32"/>
  <c r="B44" i="32"/>
  <c r="B43" i="32"/>
  <c r="B42" i="32"/>
  <c r="B41" i="32"/>
  <c r="B40" i="32"/>
  <c r="B39" i="32"/>
  <c r="B38" i="32"/>
  <c r="B37" i="32"/>
  <c r="B36" i="32"/>
  <c r="B35" i="32"/>
  <c r="B34" i="32"/>
  <c r="B33" i="32"/>
  <c r="B32" i="32"/>
  <c r="B30" i="32"/>
  <c r="B29" i="32"/>
  <c r="B28" i="32"/>
  <c r="B27" i="32"/>
  <c r="B26" i="32"/>
  <c r="B25" i="32"/>
  <c r="B24" i="32"/>
  <c r="B23" i="32"/>
  <c r="B22" i="32"/>
  <c r="B21" i="32"/>
  <c r="B20" i="32"/>
  <c r="B19" i="32"/>
  <c r="B18" i="32"/>
  <c r="B16" i="32"/>
  <c r="B15" i="32"/>
  <c r="B14" i="32"/>
  <c r="B13" i="32"/>
  <c r="B11" i="32"/>
  <c r="B10" i="32"/>
  <c r="B9" i="32"/>
  <c r="B8" i="32"/>
  <c r="B7" i="32"/>
  <c r="B6" i="32"/>
  <c r="B5" i="32"/>
  <c r="B4" i="32"/>
  <c r="B3" i="32"/>
  <c r="B2" i="3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M123" i="27"/>
  <c r="M122" i="27"/>
  <c r="M121" i="27"/>
  <c r="M120" i="27"/>
  <c r="M119" i="27"/>
  <c r="M118" i="27"/>
  <c r="M117" i="27"/>
  <c r="M116" i="27"/>
  <c r="M115" i="27"/>
  <c r="M114" i="27"/>
  <c r="M113" i="27"/>
  <c r="M112" i="27"/>
  <c r="M111" i="27"/>
  <c r="M110" i="27"/>
  <c r="M109" i="27"/>
  <c r="M108" i="27"/>
  <c r="M107" i="27"/>
  <c r="M106" i="27"/>
  <c r="M105" i="27"/>
  <c r="M104" i="27"/>
  <c r="M103" i="27"/>
  <c r="M102" i="27"/>
  <c r="M101" i="27"/>
  <c r="M100" i="27"/>
  <c r="M99" i="27"/>
  <c r="M98" i="27"/>
  <c r="M92" i="27"/>
  <c r="AF88" i="2"/>
  <c r="AG88" i="2" s="1"/>
  <c r="AD88" i="2"/>
  <c r="AA88" i="2"/>
  <c r="S88" i="2"/>
  <c r="Q88" i="2"/>
  <c r="U88" i="2" s="1"/>
  <c r="J88" i="2"/>
  <c r="G88" i="2"/>
  <c r="K88" i="2" s="1"/>
  <c r="D88" i="2"/>
  <c r="AF20" i="2"/>
  <c r="AG20" i="2" s="1"/>
  <c r="AD20" i="2"/>
  <c r="AA20" i="2"/>
  <c r="S20" i="2"/>
  <c r="Q20" i="2"/>
  <c r="U20" i="2" s="1"/>
  <c r="J20" i="2"/>
  <c r="K20" i="2"/>
  <c r="D20" i="2"/>
  <c r="J94" i="27"/>
  <c r="J94" i="31" s="1"/>
  <c r="I123" i="27"/>
  <c r="J123" i="27" s="1"/>
  <c r="H123" i="27"/>
  <c r="O123" i="27" s="1"/>
  <c r="G123" i="27"/>
  <c r="C123" i="27"/>
  <c r="D123" i="27" s="1"/>
  <c r="I122" i="27"/>
  <c r="H122" i="27"/>
  <c r="J122" i="27" s="1"/>
  <c r="G122" i="27"/>
  <c r="C122" i="27"/>
  <c r="D122" i="27" s="1"/>
  <c r="I121" i="27"/>
  <c r="H121" i="27"/>
  <c r="J121" i="27" s="1"/>
  <c r="G121" i="27"/>
  <c r="C121" i="27"/>
  <c r="D121" i="27" s="1"/>
  <c r="I120" i="27"/>
  <c r="J120" i="27" s="1"/>
  <c r="H120" i="27"/>
  <c r="O120" i="27" s="1"/>
  <c r="G120" i="27"/>
  <c r="C120" i="27"/>
  <c r="D120" i="27" s="1"/>
  <c r="I119" i="27"/>
  <c r="H119" i="27"/>
  <c r="J119" i="27" s="1"/>
  <c r="G119" i="27"/>
  <c r="C119" i="27"/>
  <c r="D119" i="27" s="1"/>
  <c r="I118" i="27"/>
  <c r="H118" i="27"/>
  <c r="J118" i="27" s="1"/>
  <c r="G118" i="27"/>
  <c r="C118" i="27"/>
  <c r="D118" i="27" s="1"/>
  <c r="I117" i="27"/>
  <c r="J117" i="27" s="1"/>
  <c r="H117" i="27"/>
  <c r="O117" i="27" s="1"/>
  <c r="G117" i="27"/>
  <c r="C117" i="27"/>
  <c r="D117" i="27" s="1"/>
  <c r="I116" i="27"/>
  <c r="H116" i="27"/>
  <c r="J116" i="27" s="1"/>
  <c r="G116" i="27"/>
  <c r="C116" i="27"/>
  <c r="D116" i="27" s="1"/>
  <c r="I115" i="27"/>
  <c r="H115" i="27"/>
  <c r="J115" i="27" s="1"/>
  <c r="G115" i="27"/>
  <c r="C115" i="27"/>
  <c r="D115" i="27" s="1"/>
  <c r="I114" i="27"/>
  <c r="J114" i="27" s="1"/>
  <c r="H114" i="27"/>
  <c r="O114" i="27" s="1"/>
  <c r="G114" i="27"/>
  <c r="C114" i="27"/>
  <c r="D114" i="27" s="1"/>
  <c r="I113" i="27"/>
  <c r="H113" i="27"/>
  <c r="J113" i="27" s="1"/>
  <c r="G113" i="27"/>
  <c r="C113" i="27"/>
  <c r="D113" i="27" s="1"/>
  <c r="I112" i="27"/>
  <c r="H112" i="27"/>
  <c r="J112" i="27" s="1"/>
  <c r="G112" i="27"/>
  <c r="C112" i="27"/>
  <c r="D112" i="27" s="1"/>
  <c r="I111" i="27"/>
  <c r="J111" i="27" s="1"/>
  <c r="H111" i="27"/>
  <c r="O111" i="27" s="1"/>
  <c r="G111" i="27"/>
  <c r="C111" i="27"/>
  <c r="D111" i="27" s="1"/>
  <c r="I110" i="27"/>
  <c r="H110" i="27"/>
  <c r="O110" i="27" s="1"/>
  <c r="G110" i="27"/>
  <c r="C110" i="27"/>
  <c r="D110" i="27" s="1"/>
  <c r="I109" i="27"/>
  <c r="H109" i="27"/>
  <c r="O109" i="27" s="1"/>
  <c r="G109" i="27"/>
  <c r="C109" i="27"/>
  <c r="D109" i="27" s="1"/>
  <c r="I108" i="27"/>
  <c r="J108" i="27" s="1"/>
  <c r="H108" i="27"/>
  <c r="O108" i="27" s="1"/>
  <c r="G108" i="27"/>
  <c r="C108" i="27"/>
  <c r="D108" i="27" s="1"/>
  <c r="I107" i="27"/>
  <c r="H107" i="27"/>
  <c r="O107" i="27" s="1"/>
  <c r="G107" i="27"/>
  <c r="C107" i="27"/>
  <c r="D107" i="27" s="1"/>
  <c r="I106" i="27"/>
  <c r="H106" i="27"/>
  <c r="O106" i="27" s="1"/>
  <c r="G106" i="27"/>
  <c r="C106" i="27"/>
  <c r="D106" i="27" s="1"/>
  <c r="I105" i="27"/>
  <c r="H105" i="27"/>
  <c r="O105" i="27" s="1"/>
  <c r="G105" i="27"/>
  <c r="C105" i="27"/>
  <c r="D105" i="27" s="1"/>
  <c r="I104" i="27"/>
  <c r="H104" i="27"/>
  <c r="O104" i="27" s="1"/>
  <c r="G104" i="27"/>
  <c r="C104" i="27"/>
  <c r="D104" i="27" s="1"/>
  <c r="I103" i="27"/>
  <c r="H103" i="27"/>
  <c r="O103" i="27" s="1"/>
  <c r="G103" i="27"/>
  <c r="C103" i="27"/>
  <c r="D103" i="27" s="1"/>
  <c r="I102" i="27"/>
  <c r="J102" i="27" s="1"/>
  <c r="H102" i="27"/>
  <c r="O102" i="27" s="1"/>
  <c r="G102" i="27"/>
  <c r="C102" i="27"/>
  <c r="D102" i="27" s="1"/>
  <c r="I101" i="27"/>
  <c r="H101" i="27"/>
  <c r="O101" i="27" s="1"/>
  <c r="G101" i="27"/>
  <c r="C101" i="27"/>
  <c r="D101" i="27" s="1"/>
  <c r="I100" i="27"/>
  <c r="H100" i="27"/>
  <c r="O100" i="27" s="1"/>
  <c r="G100" i="27"/>
  <c r="I99" i="27"/>
  <c r="H99" i="27"/>
  <c r="O99" i="27" s="1"/>
  <c r="G99" i="27"/>
  <c r="C99" i="27"/>
  <c r="B99" i="31" s="1"/>
  <c r="I98" i="27"/>
  <c r="H98" i="27"/>
  <c r="O98" i="27" s="1"/>
  <c r="G98" i="27"/>
  <c r="I97" i="27"/>
  <c r="H97" i="27"/>
  <c r="G97" i="27"/>
  <c r="I96" i="27"/>
  <c r="H96" i="27"/>
  <c r="G96" i="27"/>
  <c r="J63" i="27"/>
  <c r="J63" i="31" s="1"/>
  <c r="J32" i="27"/>
  <c r="J32" i="31" s="1"/>
  <c r="I92" i="27"/>
  <c r="G92" i="27"/>
  <c r="H92" i="27" s="1"/>
  <c r="I91" i="27"/>
  <c r="H91" i="27"/>
  <c r="G91" i="27"/>
  <c r="I90" i="27"/>
  <c r="H90" i="27"/>
  <c r="G90" i="27"/>
  <c r="C90" i="27"/>
  <c r="B90" i="31" s="1"/>
  <c r="E90" i="31" s="1"/>
  <c r="F90" i="31" s="1"/>
  <c r="I89" i="27"/>
  <c r="H89" i="27"/>
  <c r="G89" i="27"/>
  <c r="I88" i="27"/>
  <c r="H88" i="27"/>
  <c r="G88" i="27"/>
  <c r="I87" i="27"/>
  <c r="H87" i="27"/>
  <c r="G87" i="27"/>
  <c r="I86" i="27"/>
  <c r="H86" i="27"/>
  <c r="G86" i="27"/>
  <c r="I85" i="27"/>
  <c r="H85" i="27"/>
  <c r="G85" i="27"/>
  <c r="I84" i="27"/>
  <c r="H84" i="27"/>
  <c r="G84" i="27"/>
  <c r="I83" i="27"/>
  <c r="H83" i="27"/>
  <c r="G83" i="27"/>
  <c r="I82" i="27"/>
  <c r="G82" i="27"/>
  <c r="H82" i="27" s="1"/>
  <c r="I81" i="27"/>
  <c r="H81" i="27"/>
  <c r="G81" i="27"/>
  <c r="I80" i="27"/>
  <c r="H80" i="27"/>
  <c r="G80" i="27"/>
  <c r="I79" i="27"/>
  <c r="H79" i="27"/>
  <c r="G79" i="27"/>
  <c r="I78" i="27"/>
  <c r="H78" i="27"/>
  <c r="G78" i="27"/>
  <c r="I77" i="27"/>
  <c r="H77" i="27"/>
  <c r="G77" i="27"/>
  <c r="I76" i="27"/>
  <c r="H76" i="27"/>
  <c r="G76" i="27"/>
  <c r="I75" i="27"/>
  <c r="H75" i="27"/>
  <c r="G75" i="27"/>
  <c r="I74" i="27"/>
  <c r="H74" i="27"/>
  <c r="G74" i="27"/>
  <c r="I73" i="27"/>
  <c r="G73" i="27"/>
  <c r="H73" i="27" s="1"/>
  <c r="I72" i="27"/>
  <c r="H72" i="27"/>
  <c r="G72" i="27"/>
  <c r="I71" i="27"/>
  <c r="H71" i="27"/>
  <c r="G71" i="27"/>
  <c r="I70" i="27"/>
  <c r="H70" i="27"/>
  <c r="G70" i="27"/>
  <c r="I69" i="27"/>
  <c r="G69" i="27"/>
  <c r="H69" i="27" s="1"/>
  <c r="I68" i="27"/>
  <c r="H68" i="27"/>
  <c r="G68" i="27"/>
  <c r="I67" i="27"/>
  <c r="H67" i="27"/>
  <c r="G67" i="27"/>
  <c r="I66" i="27"/>
  <c r="G66" i="27"/>
  <c r="H66" i="27" s="1"/>
  <c r="I65" i="27"/>
  <c r="H65" i="27"/>
  <c r="G65" i="27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3" i="2"/>
  <c r="J8" i="31"/>
  <c r="D3" i="31"/>
  <c r="D4" i="31"/>
  <c r="D5" i="31"/>
  <c r="D6" i="31"/>
  <c r="D7" i="31"/>
  <c r="D2" i="31"/>
  <c r="I58" i="27"/>
  <c r="H58" i="27"/>
  <c r="G58" i="27"/>
  <c r="I57" i="27"/>
  <c r="G57" i="27"/>
  <c r="H57" i="27" s="1"/>
  <c r="I56" i="27"/>
  <c r="H56" i="27"/>
  <c r="G56" i="27"/>
  <c r="I55" i="27"/>
  <c r="H55" i="27"/>
  <c r="G55" i="27"/>
  <c r="I54" i="27"/>
  <c r="H54" i="27"/>
  <c r="G54" i="27"/>
  <c r="I53" i="27"/>
  <c r="H53" i="27"/>
  <c r="G53" i="27"/>
  <c r="I52" i="27"/>
  <c r="H52" i="27"/>
  <c r="G52" i="27"/>
  <c r="I51" i="27"/>
  <c r="G51" i="27"/>
  <c r="H51" i="27" s="1"/>
  <c r="I50" i="27"/>
  <c r="H50" i="27"/>
  <c r="G50" i="27"/>
  <c r="I49" i="27"/>
  <c r="G49" i="27"/>
  <c r="H49" i="27" s="1"/>
  <c r="I48" i="27"/>
  <c r="G48" i="27"/>
  <c r="H48" i="27" s="1"/>
  <c r="I47" i="27"/>
  <c r="G47" i="27"/>
  <c r="H47" i="27" s="1"/>
  <c r="I46" i="27"/>
  <c r="H46" i="27"/>
  <c r="G46" i="27"/>
  <c r="I45" i="27"/>
  <c r="H45" i="27"/>
  <c r="G45" i="27"/>
  <c r="I44" i="27"/>
  <c r="H44" i="27"/>
  <c r="G44" i="27"/>
  <c r="I43" i="27"/>
  <c r="G43" i="27"/>
  <c r="H43" i="27" s="1"/>
  <c r="I42" i="27"/>
  <c r="G42" i="27"/>
  <c r="H42" i="27" s="1"/>
  <c r="I41" i="27"/>
  <c r="G41" i="27"/>
  <c r="H41" i="27" s="1"/>
  <c r="I40" i="27"/>
  <c r="G40" i="27"/>
  <c r="H40" i="27" s="1"/>
  <c r="I39" i="27"/>
  <c r="H39" i="27"/>
  <c r="G39" i="27"/>
  <c r="I38" i="27"/>
  <c r="H38" i="27"/>
  <c r="G38" i="27"/>
  <c r="I37" i="27"/>
  <c r="H37" i="27"/>
  <c r="G37" i="27"/>
  <c r="I36" i="27"/>
  <c r="G36" i="27"/>
  <c r="H36" i="27" s="1"/>
  <c r="I35" i="27"/>
  <c r="H35" i="27"/>
  <c r="G35" i="27"/>
  <c r="I34" i="27"/>
  <c r="H34" i="27"/>
  <c r="G34" i="27"/>
  <c r="I29" i="27"/>
  <c r="H29" i="27"/>
  <c r="G29" i="27"/>
  <c r="I28" i="27"/>
  <c r="G28" i="27"/>
  <c r="H28" i="27" s="1"/>
  <c r="I27" i="27"/>
  <c r="H27" i="27"/>
  <c r="G27" i="27"/>
  <c r="I26" i="27"/>
  <c r="H26" i="27"/>
  <c r="G26" i="27"/>
  <c r="I25" i="27"/>
  <c r="G25" i="27"/>
  <c r="H25" i="27" s="1"/>
  <c r="H14" i="27"/>
  <c r="H15" i="27"/>
  <c r="H16" i="27"/>
  <c r="H17" i="27"/>
  <c r="H18" i="27"/>
  <c r="H21" i="27"/>
  <c r="H22" i="27"/>
  <c r="H23" i="27"/>
  <c r="H24" i="27"/>
  <c r="H59" i="27"/>
  <c r="H61" i="27"/>
  <c r="I11" i="27"/>
  <c r="I12" i="27"/>
  <c r="I13" i="27"/>
  <c r="I14" i="27"/>
  <c r="I15" i="27"/>
  <c r="I16" i="27"/>
  <c r="I17" i="27"/>
  <c r="I18" i="27"/>
  <c r="I19" i="27"/>
  <c r="I20" i="27"/>
  <c r="I21" i="27"/>
  <c r="I22" i="27"/>
  <c r="I23" i="27"/>
  <c r="I24" i="27"/>
  <c r="I59" i="27"/>
  <c r="I60" i="27"/>
  <c r="I61" i="27"/>
  <c r="G17" i="27"/>
  <c r="G18" i="27"/>
  <c r="G19" i="27"/>
  <c r="H19" i="27" s="1"/>
  <c r="G20" i="27"/>
  <c r="H20" i="27" s="1"/>
  <c r="G21" i="27"/>
  <c r="H26" i="30"/>
  <c r="H25" i="30"/>
  <c r="A24" i="30"/>
  <c r="A23" i="30"/>
  <c r="A22" i="30"/>
  <c r="A21" i="30"/>
  <c r="A20" i="30"/>
  <c r="A19" i="30"/>
  <c r="A18" i="30"/>
  <c r="A17" i="30"/>
  <c r="A16" i="30"/>
  <c r="A15" i="30"/>
  <c r="A14" i="30"/>
  <c r="A13" i="30"/>
  <c r="A12" i="30"/>
  <c r="A11" i="30"/>
  <c r="A10" i="30"/>
  <c r="D10" i="30" s="1"/>
  <c r="A11" i="28"/>
  <c r="A12" i="28"/>
  <c r="A13" i="28"/>
  <c r="A14" i="28"/>
  <c r="A15" i="28"/>
  <c r="A16" i="28"/>
  <c r="A17" i="28"/>
  <c r="A18" i="28"/>
  <c r="A19" i="28"/>
  <c r="A20" i="28"/>
  <c r="A21" i="28"/>
  <c r="A22" i="28"/>
  <c r="A23" i="28"/>
  <c r="A24" i="28"/>
  <c r="A10" i="28"/>
  <c r="D10" i="28" s="1"/>
  <c r="I10" i="27"/>
  <c r="G61" i="27"/>
  <c r="G60" i="27"/>
  <c r="H60" i="27" s="1"/>
  <c r="G59" i="27"/>
  <c r="G24" i="27"/>
  <c r="G23" i="27"/>
  <c r="G22" i="27"/>
  <c r="G16" i="27"/>
  <c r="G15" i="27"/>
  <c r="G14" i="27"/>
  <c r="G13" i="27"/>
  <c r="H13" i="27" s="1"/>
  <c r="G12" i="27"/>
  <c r="H12" i="27" s="1"/>
  <c r="G11" i="27"/>
  <c r="H11" i="27" s="1"/>
  <c r="G10" i="27"/>
  <c r="H10" i="27" s="1"/>
  <c r="C16" i="1"/>
  <c r="B16" i="30" s="1"/>
  <c r="D16" i="1"/>
  <c r="C16" i="28" s="1"/>
  <c r="G16" i="1"/>
  <c r="H16" i="1"/>
  <c r="F16" i="28" s="1"/>
  <c r="I16" i="1"/>
  <c r="G16" i="28" s="1"/>
  <c r="L16" i="1"/>
  <c r="C17" i="1"/>
  <c r="B17" i="30" s="1"/>
  <c r="G17" i="1"/>
  <c r="H17" i="1"/>
  <c r="F17" i="30" s="1"/>
  <c r="I17" i="1"/>
  <c r="G17" i="28" s="1"/>
  <c r="L17" i="1"/>
  <c r="C18" i="1"/>
  <c r="B18" i="28" s="1"/>
  <c r="G18" i="1"/>
  <c r="H18" i="1"/>
  <c r="F18" i="30" s="1"/>
  <c r="I18" i="1"/>
  <c r="G18" i="28" s="1"/>
  <c r="L18" i="1"/>
  <c r="C19" i="1"/>
  <c r="B19" i="30" s="1"/>
  <c r="D19" i="1"/>
  <c r="C19" i="28" s="1"/>
  <c r="G19" i="1"/>
  <c r="H19" i="1"/>
  <c r="F19" i="28" s="1"/>
  <c r="I19" i="1"/>
  <c r="G19" i="28" s="1"/>
  <c r="L19" i="1"/>
  <c r="C20" i="1"/>
  <c r="B20" i="30" s="1"/>
  <c r="G20" i="1"/>
  <c r="H20" i="1"/>
  <c r="F20" i="28" s="1"/>
  <c r="I20" i="1"/>
  <c r="G20" i="28" s="1"/>
  <c r="L20" i="1"/>
  <c r="C21" i="1"/>
  <c r="B21" i="30" s="1"/>
  <c r="G21" i="1"/>
  <c r="H21" i="1"/>
  <c r="F21" i="28" s="1"/>
  <c r="I21" i="1"/>
  <c r="G21" i="28" s="1"/>
  <c r="J21" i="1"/>
  <c r="L21" i="1"/>
  <c r="C22" i="1"/>
  <c r="B22" i="30" s="1"/>
  <c r="D22" i="1"/>
  <c r="C22" i="28" s="1"/>
  <c r="G22" i="1"/>
  <c r="H22" i="1"/>
  <c r="F22" i="28" s="1"/>
  <c r="I22" i="1"/>
  <c r="G22" i="28" s="1"/>
  <c r="L22" i="1"/>
  <c r="C23" i="1"/>
  <c r="B23" i="30" s="1"/>
  <c r="G23" i="1"/>
  <c r="H23" i="1"/>
  <c r="F23" i="30" s="1"/>
  <c r="I23" i="1"/>
  <c r="G23" i="28" s="1"/>
  <c r="L23" i="1"/>
  <c r="L13" i="1"/>
  <c r="L14" i="1"/>
  <c r="L15" i="1"/>
  <c r="L24" i="1"/>
  <c r="J24" i="1"/>
  <c r="I15" i="1"/>
  <c r="G15" i="28" s="1"/>
  <c r="I24" i="1"/>
  <c r="G24" i="28" s="1"/>
  <c r="H13" i="1"/>
  <c r="F13" i="28" s="1"/>
  <c r="H15" i="1"/>
  <c r="F15" i="30" s="1"/>
  <c r="H24" i="1"/>
  <c r="F24" i="30" s="1"/>
  <c r="G11" i="1"/>
  <c r="H11" i="1" s="1"/>
  <c r="F11" i="28" s="1"/>
  <c r="G12" i="1"/>
  <c r="H12" i="1" s="1"/>
  <c r="F12" i="30" s="1"/>
  <c r="G13" i="1"/>
  <c r="G14" i="1"/>
  <c r="H14" i="1" s="1"/>
  <c r="F14" i="28" s="1"/>
  <c r="G15" i="1"/>
  <c r="G24" i="1"/>
  <c r="G10" i="1"/>
  <c r="H10" i="1" s="1"/>
  <c r="F10" i="30" s="1"/>
  <c r="L10" i="1"/>
  <c r="AD90" i="2"/>
  <c r="AD3" i="2"/>
  <c r="AD4" i="2"/>
  <c r="AD5" i="2"/>
  <c r="AD6" i="2"/>
  <c r="AD7" i="2"/>
  <c r="AD8" i="2"/>
  <c r="AD9" i="2"/>
  <c r="AD10" i="2"/>
  <c r="AD11" i="2"/>
  <c r="AD12" i="2"/>
  <c r="AD91" i="2"/>
  <c r="AD13" i="2"/>
  <c r="AD14" i="2"/>
  <c r="AD15" i="2"/>
  <c r="AD16" i="2"/>
  <c r="AD92" i="2"/>
  <c r="AD93" i="2"/>
  <c r="AD94" i="2"/>
  <c r="AD95" i="2"/>
  <c r="AD17" i="2"/>
  <c r="AD18" i="2"/>
  <c r="AD19" i="2"/>
  <c r="AD21" i="2"/>
  <c r="AD22" i="2"/>
  <c r="AD23" i="2"/>
  <c r="AD96" i="2"/>
  <c r="AD97" i="2"/>
  <c r="AD98" i="2"/>
  <c r="AD99" i="2"/>
  <c r="AD100" i="2"/>
  <c r="AD101" i="2"/>
  <c r="AD102" i="2"/>
  <c r="AD24" i="2"/>
  <c r="AD25" i="2"/>
  <c r="AD103" i="2"/>
  <c r="AD26" i="2"/>
  <c r="AD27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104" i="2"/>
  <c r="AD43" i="2"/>
  <c r="AD44" i="2"/>
  <c r="AD45" i="2"/>
  <c r="AD46" i="2"/>
  <c r="AD47" i="2"/>
  <c r="AD48" i="2"/>
  <c r="AD105" i="2"/>
  <c r="AD49" i="2"/>
  <c r="AD50" i="2"/>
  <c r="AD106" i="2"/>
  <c r="AD107" i="2"/>
  <c r="AD108" i="2"/>
  <c r="AD109" i="2"/>
  <c r="AD110" i="2"/>
  <c r="AD111" i="2"/>
  <c r="AD112" i="2"/>
  <c r="AD51" i="2"/>
  <c r="AD52" i="2"/>
  <c r="AD53" i="2"/>
  <c r="AD54" i="2"/>
  <c r="AD113" i="2"/>
  <c r="AD114" i="2"/>
  <c r="AD115" i="2"/>
  <c r="AD55" i="2"/>
  <c r="AD56" i="2"/>
  <c r="AD57" i="2"/>
  <c r="AD116" i="2"/>
  <c r="AD28" i="2"/>
  <c r="AD58" i="2"/>
  <c r="AD117" i="2"/>
  <c r="AD59" i="2"/>
  <c r="AD60" i="2"/>
  <c r="AD61" i="2"/>
  <c r="AD118" i="2"/>
  <c r="AD62" i="2"/>
  <c r="AD63" i="2"/>
  <c r="AD64" i="2"/>
  <c r="AD65" i="2"/>
  <c r="AD119" i="2"/>
  <c r="AD66" i="2"/>
  <c r="AD67" i="2"/>
  <c r="AD68" i="2"/>
  <c r="AD120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121" i="2"/>
  <c r="AD122" i="2"/>
  <c r="AD123" i="2"/>
  <c r="AD124" i="2"/>
  <c r="AD125" i="2"/>
  <c r="AD126" i="2"/>
  <c r="AD127" i="2"/>
  <c r="AD128" i="2"/>
  <c r="AD83" i="2"/>
  <c r="AD84" i="2"/>
  <c r="AD85" i="2"/>
  <c r="AD86" i="2"/>
  <c r="AD87" i="2"/>
  <c r="AD129" i="2"/>
  <c r="AD130" i="2"/>
  <c r="AD131" i="2"/>
  <c r="AD132" i="2"/>
  <c r="AD133" i="2"/>
  <c r="AD134" i="2"/>
  <c r="AD135" i="2"/>
  <c r="AD136" i="2"/>
  <c r="AD137" i="2"/>
  <c r="AD138" i="2"/>
  <c r="AD89" i="2"/>
  <c r="AA90" i="2"/>
  <c r="AA3" i="2"/>
  <c r="AA4" i="2"/>
  <c r="AA5" i="2"/>
  <c r="AA6" i="2"/>
  <c r="AA7" i="2"/>
  <c r="AA8" i="2"/>
  <c r="AA9" i="2"/>
  <c r="AA10" i="2"/>
  <c r="AA11" i="2"/>
  <c r="AA12" i="2"/>
  <c r="AA91" i="2"/>
  <c r="AA13" i="2"/>
  <c r="AA14" i="2"/>
  <c r="AA15" i="2"/>
  <c r="AA16" i="2"/>
  <c r="AA92" i="2"/>
  <c r="AA93" i="2"/>
  <c r="AA94" i="2"/>
  <c r="AA95" i="2"/>
  <c r="AA17" i="2"/>
  <c r="AA18" i="2"/>
  <c r="AA19" i="2"/>
  <c r="AA21" i="2"/>
  <c r="AA22" i="2"/>
  <c r="AA23" i="2"/>
  <c r="AA96" i="2"/>
  <c r="AA97" i="2"/>
  <c r="AA98" i="2"/>
  <c r="AA99" i="2"/>
  <c r="AA100" i="2"/>
  <c r="AA101" i="2"/>
  <c r="AA102" i="2"/>
  <c r="AA24" i="2"/>
  <c r="AA25" i="2"/>
  <c r="AA103" i="2"/>
  <c r="AA26" i="2"/>
  <c r="AA27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104" i="2"/>
  <c r="AA43" i="2"/>
  <c r="AA44" i="2"/>
  <c r="AA45" i="2"/>
  <c r="AA46" i="2"/>
  <c r="AA47" i="2"/>
  <c r="AA48" i="2"/>
  <c r="AA105" i="2"/>
  <c r="AA49" i="2"/>
  <c r="AA50" i="2"/>
  <c r="AA106" i="2"/>
  <c r="AA107" i="2"/>
  <c r="AA108" i="2"/>
  <c r="AA109" i="2"/>
  <c r="AA110" i="2"/>
  <c r="AA111" i="2"/>
  <c r="AA112" i="2"/>
  <c r="AA51" i="2"/>
  <c r="AA52" i="2"/>
  <c r="AA53" i="2"/>
  <c r="AA54" i="2"/>
  <c r="AA113" i="2"/>
  <c r="AA114" i="2"/>
  <c r="AA115" i="2"/>
  <c r="AA55" i="2"/>
  <c r="AA56" i="2"/>
  <c r="AA57" i="2"/>
  <c r="AA116" i="2"/>
  <c r="AA28" i="2"/>
  <c r="AA58" i="2"/>
  <c r="AA117" i="2"/>
  <c r="AA59" i="2"/>
  <c r="AA60" i="2"/>
  <c r="AA61" i="2"/>
  <c r="AA118" i="2"/>
  <c r="AA62" i="2"/>
  <c r="AA63" i="2"/>
  <c r="AA64" i="2"/>
  <c r="AA65" i="2"/>
  <c r="AA119" i="2"/>
  <c r="AA66" i="2"/>
  <c r="AA67" i="2"/>
  <c r="AA68" i="2"/>
  <c r="AA120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121" i="2"/>
  <c r="AA122" i="2"/>
  <c r="AA123" i="2"/>
  <c r="AA124" i="2"/>
  <c r="AA125" i="2"/>
  <c r="AA126" i="2"/>
  <c r="AA127" i="2"/>
  <c r="AA128" i="2"/>
  <c r="AA83" i="2"/>
  <c r="AA84" i="2"/>
  <c r="AA85" i="2"/>
  <c r="AA86" i="2"/>
  <c r="AA87" i="2"/>
  <c r="AA129" i="2"/>
  <c r="AA130" i="2"/>
  <c r="AA131" i="2"/>
  <c r="AA132" i="2"/>
  <c r="AA133" i="2"/>
  <c r="AA134" i="2"/>
  <c r="AA135" i="2"/>
  <c r="AA136" i="2"/>
  <c r="AA137" i="2"/>
  <c r="AA138" i="2"/>
  <c r="K23" i="1" s="1"/>
  <c r="M23" i="1" s="1"/>
  <c r="AA89" i="2"/>
  <c r="C15" i="1"/>
  <c r="D15" i="1" s="1"/>
  <c r="C15" i="30" s="1"/>
  <c r="C24" i="1"/>
  <c r="B24" i="28" s="1"/>
  <c r="D24" i="1"/>
  <c r="C24" i="30" s="1"/>
  <c r="K2" i="2"/>
  <c r="J89" i="2"/>
  <c r="J90" i="2"/>
  <c r="J3" i="2"/>
  <c r="J4" i="2"/>
  <c r="J5" i="2"/>
  <c r="J6" i="2"/>
  <c r="J7" i="2"/>
  <c r="J8" i="2"/>
  <c r="J9" i="2"/>
  <c r="J10" i="2"/>
  <c r="J11" i="2"/>
  <c r="J12" i="2"/>
  <c r="J91" i="2"/>
  <c r="J13" i="2"/>
  <c r="J14" i="2"/>
  <c r="J15" i="2"/>
  <c r="J16" i="2"/>
  <c r="C22" i="27" s="1"/>
  <c r="B22" i="31" s="1"/>
  <c r="J92" i="2"/>
  <c r="J93" i="2"/>
  <c r="J94" i="2"/>
  <c r="J95" i="2"/>
  <c r="J17" i="2"/>
  <c r="J18" i="2"/>
  <c r="J19" i="2"/>
  <c r="J21" i="2"/>
  <c r="J22" i="2"/>
  <c r="J23" i="2"/>
  <c r="J96" i="2"/>
  <c r="J97" i="2"/>
  <c r="J98" i="2"/>
  <c r="J99" i="2"/>
  <c r="J100" i="2"/>
  <c r="J101" i="2"/>
  <c r="J102" i="2"/>
  <c r="J24" i="2"/>
  <c r="J25" i="2"/>
  <c r="J103" i="2"/>
  <c r="J26" i="2"/>
  <c r="J27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104" i="2"/>
  <c r="J43" i="2"/>
  <c r="J44" i="2"/>
  <c r="J45" i="2"/>
  <c r="J46" i="2"/>
  <c r="J47" i="2"/>
  <c r="J48" i="2"/>
  <c r="J105" i="2"/>
  <c r="J49" i="2"/>
  <c r="J50" i="2"/>
  <c r="J106" i="2"/>
  <c r="J107" i="2"/>
  <c r="J108" i="2"/>
  <c r="J109" i="2"/>
  <c r="J110" i="2"/>
  <c r="J111" i="2"/>
  <c r="J112" i="2"/>
  <c r="J51" i="2"/>
  <c r="J52" i="2"/>
  <c r="J53" i="2"/>
  <c r="J54" i="2"/>
  <c r="J113" i="2"/>
  <c r="J114" i="2"/>
  <c r="J115" i="2"/>
  <c r="J55" i="2"/>
  <c r="J56" i="2"/>
  <c r="J57" i="2"/>
  <c r="J116" i="2"/>
  <c r="J28" i="2"/>
  <c r="J58" i="2"/>
  <c r="J117" i="2"/>
  <c r="J59" i="2"/>
  <c r="J60" i="2"/>
  <c r="J61" i="2"/>
  <c r="J118" i="2"/>
  <c r="J62" i="2"/>
  <c r="J63" i="2"/>
  <c r="J64" i="2"/>
  <c r="J65" i="2"/>
  <c r="J119" i="2"/>
  <c r="J66" i="2"/>
  <c r="J67" i="2"/>
  <c r="J68" i="2"/>
  <c r="J120" i="2"/>
  <c r="J69" i="2"/>
  <c r="J70" i="2"/>
  <c r="J71" i="2"/>
  <c r="J72" i="2"/>
  <c r="J73" i="2"/>
  <c r="J74" i="2"/>
  <c r="C76" i="27" s="1"/>
  <c r="B76" i="31" s="1"/>
  <c r="J75" i="2"/>
  <c r="J76" i="2"/>
  <c r="J77" i="2"/>
  <c r="J78" i="2"/>
  <c r="J79" i="2"/>
  <c r="C81" i="27" s="1"/>
  <c r="B81" i="31" s="1"/>
  <c r="J80" i="2"/>
  <c r="C82" i="27" s="1"/>
  <c r="B82" i="31" s="1"/>
  <c r="J81" i="2"/>
  <c r="J82" i="2"/>
  <c r="C92" i="27" s="1"/>
  <c r="J121" i="2"/>
  <c r="J122" i="2"/>
  <c r="J123" i="2"/>
  <c r="J124" i="2"/>
  <c r="J125" i="2"/>
  <c r="J126" i="2"/>
  <c r="J127" i="2"/>
  <c r="J128" i="2"/>
  <c r="J83" i="2"/>
  <c r="J84" i="2"/>
  <c r="J85" i="2"/>
  <c r="C98" i="27" s="1"/>
  <c r="D98" i="27" s="1"/>
  <c r="J86" i="2"/>
  <c r="C88" i="27" s="1"/>
  <c r="B88" i="31" s="1"/>
  <c r="J87" i="2"/>
  <c r="C100" i="27" s="1"/>
  <c r="B100" i="31" s="1"/>
  <c r="J129" i="2"/>
  <c r="J130" i="2"/>
  <c r="J131" i="2"/>
  <c r="J132" i="2"/>
  <c r="J133" i="2"/>
  <c r="J134" i="2"/>
  <c r="J135" i="2"/>
  <c r="J136" i="2"/>
  <c r="J137" i="2"/>
  <c r="J2" i="2"/>
  <c r="U137" i="2"/>
  <c r="W137" i="2" s="1"/>
  <c r="S90" i="2"/>
  <c r="S3" i="2"/>
  <c r="S4" i="2"/>
  <c r="S5" i="2"/>
  <c r="S6" i="2"/>
  <c r="S7" i="2"/>
  <c r="S8" i="2"/>
  <c r="S9" i="2"/>
  <c r="S10" i="2"/>
  <c r="S11" i="2"/>
  <c r="S12" i="2"/>
  <c r="S91" i="2"/>
  <c r="S13" i="2"/>
  <c r="S14" i="2"/>
  <c r="S15" i="2"/>
  <c r="S16" i="2"/>
  <c r="S92" i="2"/>
  <c r="S93" i="2"/>
  <c r="S94" i="2"/>
  <c r="S95" i="2"/>
  <c r="S17" i="2"/>
  <c r="S18" i="2"/>
  <c r="S19" i="2"/>
  <c r="S21" i="2"/>
  <c r="S22" i="2"/>
  <c r="S23" i="2"/>
  <c r="S96" i="2"/>
  <c r="S97" i="2"/>
  <c r="S98" i="2"/>
  <c r="S99" i="2"/>
  <c r="S100" i="2"/>
  <c r="S101" i="2"/>
  <c r="S102" i="2"/>
  <c r="S24" i="2"/>
  <c r="S25" i="2"/>
  <c r="S103" i="2"/>
  <c r="S26" i="2"/>
  <c r="S27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104" i="2"/>
  <c r="S43" i="2"/>
  <c r="S44" i="2"/>
  <c r="S45" i="2"/>
  <c r="S46" i="2"/>
  <c r="S47" i="2"/>
  <c r="S48" i="2"/>
  <c r="S105" i="2"/>
  <c r="S49" i="2"/>
  <c r="S50" i="2"/>
  <c r="S106" i="2"/>
  <c r="S107" i="2"/>
  <c r="S108" i="2"/>
  <c r="S109" i="2"/>
  <c r="S110" i="2"/>
  <c r="S111" i="2"/>
  <c r="S112" i="2"/>
  <c r="S51" i="2"/>
  <c r="S52" i="2"/>
  <c r="S53" i="2"/>
  <c r="S54" i="2"/>
  <c r="S113" i="2"/>
  <c r="S114" i="2"/>
  <c r="S115" i="2"/>
  <c r="S55" i="2"/>
  <c r="S56" i="2"/>
  <c r="S57" i="2"/>
  <c r="S116" i="2"/>
  <c r="S28" i="2"/>
  <c r="S58" i="2"/>
  <c r="S117" i="2"/>
  <c r="S59" i="2"/>
  <c r="S60" i="2"/>
  <c r="S61" i="2"/>
  <c r="S118" i="2"/>
  <c r="S62" i="2"/>
  <c r="S63" i="2"/>
  <c r="S64" i="2"/>
  <c r="S65" i="2"/>
  <c r="S119" i="2"/>
  <c r="S66" i="2"/>
  <c r="S67" i="2"/>
  <c r="S68" i="2"/>
  <c r="S120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121" i="2"/>
  <c r="S122" i="2"/>
  <c r="S123" i="2"/>
  <c r="S124" i="2"/>
  <c r="S125" i="2"/>
  <c r="S126" i="2"/>
  <c r="S127" i="2"/>
  <c r="S128" i="2"/>
  <c r="S83" i="2"/>
  <c r="S84" i="2"/>
  <c r="S85" i="2"/>
  <c r="S86" i="2"/>
  <c r="S87" i="2"/>
  <c r="S129" i="2"/>
  <c r="S130" i="2"/>
  <c r="S131" i="2"/>
  <c r="S132" i="2"/>
  <c r="S133" i="2"/>
  <c r="S134" i="2"/>
  <c r="S135" i="2"/>
  <c r="S136" i="2"/>
  <c r="Q90" i="2"/>
  <c r="U90" i="2" s="1"/>
  <c r="Q3" i="2"/>
  <c r="U3" i="2" s="1"/>
  <c r="Q4" i="2"/>
  <c r="U4" i="2" s="1"/>
  <c r="W4" i="2" s="1"/>
  <c r="Q5" i="2"/>
  <c r="U5" i="2" s="1"/>
  <c r="Q6" i="2"/>
  <c r="U6" i="2" s="1"/>
  <c r="Q7" i="2"/>
  <c r="U7" i="2" s="1"/>
  <c r="Q8" i="2"/>
  <c r="U8" i="2" s="1"/>
  <c r="Q9" i="2"/>
  <c r="U9" i="2" s="1"/>
  <c r="Q10" i="2"/>
  <c r="U10" i="2" s="1"/>
  <c r="W10" i="2" s="1"/>
  <c r="Q11" i="2"/>
  <c r="U11" i="2" s="1"/>
  <c r="Q12" i="2"/>
  <c r="U12" i="2" s="1"/>
  <c r="Q91" i="2"/>
  <c r="U91" i="2" s="1"/>
  <c r="Q13" i="2"/>
  <c r="U13" i="2" s="1"/>
  <c r="Q14" i="2"/>
  <c r="U14" i="2" s="1"/>
  <c r="Q15" i="2"/>
  <c r="U15" i="2" s="1"/>
  <c r="W15" i="2" s="1"/>
  <c r="Q16" i="2"/>
  <c r="U16" i="2" s="1"/>
  <c r="Q92" i="2"/>
  <c r="U92" i="2" s="1"/>
  <c r="Q93" i="2"/>
  <c r="U93" i="2" s="1"/>
  <c r="Q94" i="2"/>
  <c r="U94" i="2" s="1"/>
  <c r="Q95" i="2"/>
  <c r="U95" i="2" s="1"/>
  <c r="Q17" i="2"/>
  <c r="U17" i="2" s="1"/>
  <c r="W17" i="2" s="1"/>
  <c r="Q18" i="2"/>
  <c r="U18" i="2" s="1"/>
  <c r="Q19" i="2"/>
  <c r="U19" i="2" s="1"/>
  <c r="Q21" i="2"/>
  <c r="U21" i="2" s="1"/>
  <c r="Q22" i="2"/>
  <c r="U22" i="2" s="1"/>
  <c r="Q23" i="2"/>
  <c r="U23" i="2" s="1"/>
  <c r="Q96" i="2"/>
  <c r="U96" i="2" s="1"/>
  <c r="W96" i="2" s="1"/>
  <c r="Q97" i="2"/>
  <c r="U97" i="2" s="1"/>
  <c r="Q98" i="2"/>
  <c r="U98" i="2" s="1"/>
  <c r="Q99" i="2"/>
  <c r="U99" i="2" s="1"/>
  <c r="Q100" i="2"/>
  <c r="U100" i="2" s="1"/>
  <c r="Q101" i="2"/>
  <c r="U101" i="2" s="1"/>
  <c r="Q102" i="2"/>
  <c r="U102" i="2" s="1"/>
  <c r="W102" i="2" s="1"/>
  <c r="Q24" i="2"/>
  <c r="U24" i="2" s="1"/>
  <c r="Q25" i="2"/>
  <c r="U25" i="2" s="1"/>
  <c r="Q103" i="2"/>
  <c r="U103" i="2" s="1"/>
  <c r="Q26" i="2"/>
  <c r="U26" i="2" s="1"/>
  <c r="Q27" i="2"/>
  <c r="U27" i="2" s="1"/>
  <c r="W27" i="2" s="1"/>
  <c r="Q29" i="2"/>
  <c r="U29" i="2" s="1"/>
  <c r="Q30" i="2"/>
  <c r="U30" i="2" s="1"/>
  <c r="Q31" i="2"/>
  <c r="U31" i="2" s="1"/>
  <c r="Q32" i="2"/>
  <c r="U32" i="2" s="1"/>
  <c r="Q33" i="2"/>
  <c r="U33" i="2" s="1"/>
  <c r="Q34" i="2"/>
  <c r="U34" i="2" s="1"/>
  <c r="W34" i="2" s="1"/>
  <c r="Q35" i="2"/>
  <c r="U35" i="2" s="1"/>
  <c r="Q36" i="2"/>
  <c r="U36" i="2" s="1"/>
  <c r="Q37" i="2"/>
  <c r="U37" i="2" s="1"/>
  <c r="Q38" i="2"/>
  <c r="U38" i="2" s="1"/>
  <c r="Q39" i="2"/>
  <c r="U39" i="2" s="1"/>
  <c r="Q40" i="2"/>
  <c r="U40" i="2" s="1"/>
  <c r="Q41" i="2"/>
  <c r="U41" i="2" s="1"/>
  <c r="Q42" i="2"/>
  <c r="U42" i="2" s="1"/>
  <c r="Q104" i="2"/>
  <c r="U104" i="2" s="1"/>
  <c r="Q43" i="2"/>
  <c r="U43" i="2" s="1"/>
  <c r="Q44" i="2"/>
  <c r="U44" i="2" s="1"/>
  <c r="Q45" i="2"/>
  <c r="U45" i="2" s="1"/>
  <c r="Q46" i="2"/>
  <c r="U46" i="2" s="1"/>
  <c r="Q47" i="2"/>
  <c r="U47" i="2" s="1"/>
  <c r="Q48" i="2"/>
  <c r="U48" i="2" s="1"/>
  <c r="Q105" i="2"/>
  <c r="U105" i="2" s="1"/>
  <c r="Q49" i="2"/>
  <c r="U49" i="2" s="1"/>
  <c r="Q50" i="2"/>
  <c r="U50" i="2" s="1"/>
  <c r="Q106" i="2"/>
  <c r="U106" i="2" s="1"/>
  <c r="Q107" i="2"/>
  <c r="U107" i="2" s="1"/>
  <c r="Q108" i="2"/>
  <c r="U108" i="2" s="1"/>
  <c r="Q109" i="2"/>
  <c r="U109" i="2" s="1"/>
  <c r="Q110" i="2"/>
  <c r="U110" i="2" s="1"/>
  <c r="Q111" i="2"/>
  <c r="U111" i="2" s="1"/>
  <c r="Q112" i="2"/>
  <c r="U112" i="2" s="1"/>
  <c r="Q51" i="2"/>
  <c r="U51" i="2" s="1"/>
  <c r="Q52" i="2"/>
  <c r="U52" i="2" s="1"/>
  <c r="Q53" i="2"/>
  <c r="U53" i="2" s="1"/>
  <c r="Q54" i="2"/>
  <c r="U54" i="2" s="1"/>
  <c r="W54" i="2" s="1"/>
  <c r="Q113" i="2"/>
  <c r="U113" i="2" s="1"/>
  <c r="Q114" i="2"/>
  <c r="U114" i="2" s="1"/>
  <c r="Q115" i="2"/>
  <c r="U115" i="2" s="1"/>
  <c r="Q55" i="2"/>
  <c r="U55" i="2" s="1"/>
  <c r="Q56" i="2"/>
  <c r="U56" i="2" s="1"/>
  <c r="Q57" i="2"/>
  <c r="U57" i="2" s="1"/>
  <c r="Q116" i="2"/>
  <c r="U116" i="2" s="1"/>
  <c r="Q28" i="2"/>
  <c r="U28" i="2" s="1"/>
  <c r="Q58" i="2"/>
  <c r="U58" i="2" s="1"/>
  <c r="Q117" i="2"/>
  <c r="U117" i="2" s="1"/>
  <c r="Q59" i="2"/>
  <c r="U59" i="2" s="1"/>
  <c r="Q60" i="2"/>
  <c r="U60" i="2" s="1"/>
  <c r="Q61" i="2"/>
  <c r="U61" i="2" s="1"/>
  <c r="Q118" i="2"/>
  <c r="U118" i="2" s="1"/>
  <c r="Q62" i="2"/>
  <c r="U62" i="2" s="1"/>
  <c r="Q63" i="2"/>
  <c r="U63" i="2" s="1"/>
  <c r="Q64" i="2"/>
  <c r="U64" i="2" s="1"/>
  <c r="Q65" i="2"/>
  <c r="U65" i="2" s="1"/>
  <c r="Q119" i="2"/>
  <c r="U119" i="2" s="1"/>
  <c r="Q66" i="2"/>
  <c r="U66" i="2" s="1"/>
  <c r="Q67" i="2"/>
  <c r="U67" i="2" s="1"/>
  <c r="Q68" i="2"/>
  <c r="U68" i="2" s="1"/>
  <c r="W68" i="2" s="1"/>
  <c r="Q120" i="2"/>
  <c r="U120" i="2" s="1"/>
  <c r="Q69" i="2"/>
  <c r="U69" i="2" s="1"/>
  <c r="Q70" i="2"/>
  <c r="U70" i="2" s="1"/>
  <c r="Q71" i="2"/>
  <c r="U71" i="2" s="1"/>
  <c r="Q72" i="2"/>
  <c r="U72" i="2" s="1"/>
  <c r="Q73" i="2"/>
  <c r="U73" i="2" s="1"/>
  <c r="Q74" i="2"/>
  <c r="U74" i="2" s="1"/>
  <c r="Q75" i="2"/>
  <c r="U75" i="2" s="1"/>
  <c r="Q76" i="2"/>
  <c r="U76" i="2" s="1"/>
  <c r="Q77" i="2"/>
  <c r="U77" i="2" s="1"/>
  <c r="Q78" i="2"/>
  <c r="U78" i="2" s="1"/>
  <c r="Q79" i="2"/>
  <c r="U79" i="2" s="1"/>
  <c r="Q80" i="2"/>
  <c r="U80" i="2" s="1"/>
  <c r="Q81" i="2"/>
  <c r="U81" i="2" s="1"/>
  <c r="W81" i="2" s="1"/>
  <c r="Q82" i="2"/>
  <c r="U82" i="2" s="1"/>
  <c r="Q121" i="2"/>
  <c r="U121" i="2" s="1"/>
  <c r="Q122" i="2"/>
  <c r="U122" i="2" s="1"/>
  <c r="Q123" i="2"/>
  <c r="U123" i="2" s="1"/>
  <c r="Q124" i="2"/>
  <c r="U124" i="2" s="1"/>
  <c r="Q125" i="2"/>
  <c r="U125" i="2" s="1"/>
  <c r="Q126" i="2"/>
  <c r="U126" i="2" s="1"/>
  <c r="Q127" i="2"/>
  <c r="U127" i="2" s="1"/>
  <c r="Q128" i="2"/>
  <c r="U128" i="2" s="1"/>
  <c r="Q83" i="2"/>
  <c r="U83" i="2" s="1"/>
  <c r="Q84" i="2"/>
  <c r="U84" i="2" s="1"/>
  <c r="Q85" i="2"/>
  <c r="U85" i="2" s="1"/>
  <c r="Q86" i="2"/>
  <c r="U86" i="2" s="1"/>
  <c r="Q87" i="2"/>
  <c r="U87" i="2" s="1"/>
  <c r="Q129" i="2"/>
  <c r="U129" i="2" s="1"/>
  <c r="Q130" i="2"/>
  <c r="U130" i="2" s="1"/>
  <c r="Q131" i="2"/>
  <c r="U131" i="2" s="1"/>
  <c r="Q132" i="2"/>
  <c r="U132" i="2" s="1"/>
  <c r="Q133" i="2"/>
  <c r="U133" i="2" s="1"/>
  <c r="Q134" i="2"/>
  <c r="U134" i="2" s="1"/>
  <c r="Q135" i="2"/>
  <c r="U135" i="2" s="1"/>
  <c r="Q136" i="2"/>
  <c r="U136" i="2" s="1"/>
  <c r="Q89" i="2"/>
  <c r="U89" i="2" s="1"/>
  <c r="G135" i="2"/>
  <c r="K135" i="2" s="1"/>
  <c r="AF135" i="2"/>
  <c r="AG135" i="2" s="1"/>
  <c r="G134" i="2"/>
  <c r="K134" i="2" s="1"/>
  <c r="AF134" i="2"/>
  <c r="AG134" i="2" s="1"/>
  <c r="G133" i="2"/>
  <c r="K133" i="2" s="1"/>
  <c r="AF133" i="2"/>
  <c r="AG133" i="2" s="1"/>
  <c r="G132" i="2"/>
  <c r="K132" i="2" s="1"/>
  <c r="G131" i="2"/>
  <c r="K131" i="2" s="1"/>
  <c r="AF130" i="2"/>
  <c r="AG130" i="2" s="1"/>
  <c r="G129" i="2"/>
  <c r="K129" i="2" s="1"/>
  <c r="G115" i="2"/>
  <c r="K115" i="2" s="1"/>
  <c r="AF115" i="2"/>
  <c r="AG115" i="2" s="1"/>
  <c r="AF114" i="2"/>
  <c r="AG114" i="2" s="1"/>
  <c r="G121" i="2"/>
  <c r="K121" i="2" s="1"/>
  <c r="AF121" i="2"/>
  <c r="AG121" i="2" s="1"/>
  <c r="G120" i="2"/>
  <c r="K120" i="2" s="1"/>
  <c r="AF120" i="2"/>
  <c r="AG120" i="2" s="1"/>
  <c r="G118" i="2"/>
  <c r="K118" i="2" s="1"/>
  <c r="AF118" i="2"/>
  <c r="AG118" i="2" s="1"/>
  <c r="G112" i="2"/>
  <c r="AF112" i="2"/>
  <c r="AG112" i="2" s="1"/>
  <c r="G111" i="2"/>
  <c r="AF111" i="2"/>
  <c r="AG111" i="2" s="1"/>
  <c r="G110" i="2"/>
  <c r="AF110" i="2"/>
  <c r="AG110" i="2" s="1"/>
  <c r="G109" i="2"/>
  <c r="K109" i="2" s="1"/>
  <c r="AF109" i="2"/>
  <c r="AG109" i="2" s="1"/>
  <c r="G108" i="2"/>
  <c r="K108" i="2" s="1"/>
  <c r="AF108" i="2"/>
  <c r="AG108" i="2" s="1"/>
  <c r="G106" i="2"/>
  <c r="K106" i="2" s="1"/>
  <c r="AF106" i="2"/>
  <c r="AG106" i="2" s="1"/>
  <c r="G39" i="2"/>
  <c r="K39" i="2" s="1"/>
  <c r="AF39" i="2"/>
  <c r="AG39" i="2" s="1"/>
  <c r="G104" i="2"/>
  <c r="K104" i="2" s="1"/>
  <c r="AF104" i="2"/>
  <c r="AG104" i="2" s="1"/>
  <c r="G102" i="2"/>
  <c r="K102" i="2" s="1"/>
  <c r="AF102" i="2"/>
  <c r="AG102" i="2" s="1"/>
  <c r="G101" i="2"/>
  <c r="K101" i="2" s="1"/>
  <c r="AF101" i="2"/>
  <c r="AG101" i="2" s="1"/>
  <c r="G100" i="2"/>
  <c r="K100" i="2" s="1"/>
  <c r="AF100" i="2"/>
  <c r="AG100" i="2" s="1"/>
  <c r="G99" i="2"/>
  <c r="K99" i="2" s="1"/>
  <c r="AF99" i="2"/>
  <c r="AG99" i="2" s="1"/>
  <c r="G98" i="2"/>
  <c r="K98" i="2" s="1"/>
  <c r="AF98" i="2"/>
  <c r="AG98" i="2" s="1"/>
  <c r="G97" i="2"/>
  <c r="K97" i="2" s="1"/>
  <c r="AF97" i="2"/>
  <c r="AG97" i="2" s="1"/>
  <c r="G96" i="2"/>
  <c r="K96" i="2" s="1"/>
  <c r="AF96" i="2"/>
  <c r="AG96" i="2" s="1"/>
  <c r="AF90" i="2"/>
  <c r="AG90" i="2" s="1"/>
  <c r="AF3" i="2"/>
  <c r="AG3" i="2" s="1"/>
  <c r="AF4" i="2"/>
  <c r="AG4" i="2" s="1"/>
  <c r="AF5" i="2"/>
  <c r="AG5" i="2" s="1"/>
  <c r="AF6" i="2"/>
  <c r="AG6" i="2" s="1"/>
  <c r="AF7" i="2"/>
  <c r="AG7" i="2" s="1"/>
  <c r="AF8" i="2"/>
  <c r="AG8" i="2" s="1"/>
  <c r="AF9" i="2"/>
  <c r="AG9" i="2" s="1"/>
  <c r="AF10" i="2"/>
  <c r="AG10" i="2" s="1"/>
  <c r="AF11" i="2"/>
  <c r="AG11" i="2" s="1"/>
  <c r="AF13" i="2"/>
  <c r="AG13" i="2" s="1"/>
  <c r="AF14" i="2"/>
  <c r="AG14" i="2" s="1"/>
  <c r="AF15" i="2"/>
  <c r="AG15" i="2" s="1"/>
  <c r="AF16" i="2"/>
  <c r="AG16" i="2" s="1"/>
  <c r="AF17" i="2"/>
  <c r="AG17" i="2" s="1"/>
  <c r="AF18" i="2"/>
  <c r="AG18" i="2" s="1"/>
  <c r="AF19" i="2"/>
  <c r="AG19" i="2" s="1"/>
  <c r="AF21" i="2"/>
  <c r="AG21" i="2" s="1"/>
  <c r="AF22" i="2"/>
  <c r="AG22" i="2" s="1"/>
  <c r="AF23" i="2"/>
  <c r="AG23" i="2" s="1"/>
  <c r="AF24" i="2"/>
  <c r="AG24" i="2" s="1"/>
  <c r="AF25" i="2"/>
  <c r="AG25" i="2" s="1"/>
  <c r="AF26" i="2"/>
  <c r="AG26" i="2" s="1"/>
  <c r="AF27" i="2"/>
  <c r="AG27" i="2" s="1"/>
  <c r="AF29" i="2"/>
  <c r="AG29" i="2" s="1"/>
  <c r="AF30" i="2"/>
  <c r="AG30" i="2" s="1"/>
  <c r="AF31" i="2"/>
  <c r="AG31" i="2" s="1"/>
  <c r="AF32" i="2"/>
  <c r="AG32" i="2" s="1"/>
  <c r="AF33" i="2"/>
  <c r="AG33" i="2" s="1"/>
  <c r="AF34" i="2"/>
  <c r="AG34" i="2" s="1"/>
  <c r="AF35" i="2"/>
  <c r="AG35" i="2" s="1"/>
  <c r="AF36" i="2"/>
  <c r="AG36" i="2" s="1"/>
  <c r="AF37" i="2"/>
  <c r="AG37" i="2" s="1"/>
  <c r="AF38" i="2"/>
  <c r="AG38" i="2" s="1"/>
  <c r="AF40" i="2"/>
  <c r="AG40" i="2" s="1"/>
  <c r="AF41" i="2"/>
  <c r="AG41" i="2" s="1"/>
  <c r="AF42" i="2"/>
  <c r="AG42" i="2" s="1"/>
  <c r="AF43" i="2"/>
  <c r="AG43" i="2" s="1"/>
  <c r="AF44" i="2"/>
  <c r="AG44" i="2" s="1"/>
  <c r="AF45" i="2"/>
  <c r="AG45" i="2" s="1"/>
  <c r="AF46" i="2"/>
  <c r="AG46" i="2" s="1"/>
  <c r="AF47" i="2"/>
  <c r="AG47" i="2" s="1"/>
  <c r="AF48" i="2"/>
  <c r="AG48" i="2" s="1"/>
  <c r="AF105" i="2"/>
  <c r="AG105" i="2" s="1"/>
  <c r="AF49" i="2"/>
  <c r="AG49" i="2" s="1"/>
  <c r="AF50" i="2"/>
  <c r="AG50" i="2" s="1"/>
  <c r="AF107" i="2"/>
  <c r="AG107" i="2" s="1"/>
  <c r="AF51" i="2"/>
  <c r="AG51" i="2" s="1"/>
  <c r="AF52" i="2"/>
  <c r="AG52" i="2" s="1"/>
  <c r="AF53" i="2"/>
  <c r="AG53" i="2" s="1"/>
  <c r="AF54" i="2"/>
  <c r="AG54" i="2" s="1"/>
  <c r="AF55" i="2"/>
  <c r="AG55" i="2" s="1"/>
  <c r="AF56" i="2"/>
  <c r="AG56" i="2" s="1"/>
  <c r="AF57" i="2"/>
  <c r="AG57" i="2" s="1"/>
  <c r="AF58" i="2"/>
  <c r="AG58" i="2" s="1"/>
  <c r="AF117" i="2"/>
  <c r="AG117" i="2" s="1"/>
  <c r="AF59" i="2"/>
  <c r="AG59" i="2" s="1"/>
  <c r="AF60" i="2"/>
  <c r="AG60" i="2" s="1"/>
  <c r="AF61" i="2"/>
  <c r="AG61" i="2" s="1"/>
  <c r="AF62" i="2"/>
  <c r="AG62" i="2" s="1"/>
  <c r="AF63" i="2"/>
  <c r="AG63" i="2" s="1"/>
  <c r="AF64" i="2"/>
  <c r="AG64" i="2" s="1"/>
  <c r="AF65" i="2"/>
  <c r="AG65" i="2" s="1"/>
  <c r="AF119" i="2"/>
  <c r="AG119" i="2" s="1"/>
  <c r="AF66" i="2"/>
  <c r="AG66" i="2" s="1"/>
  <c r="AF67" i="2"/>
  <c r="AG67" i="2" s="1"/>
  <c r="AF68" i="2"/>
  <c r="AG68" i="2" s="1"/>
  <c r="AF69" i="2"/>
  <c r="AG69" i="2" s="1"/>
  <c r="AF70" i="2"/>
  <c r="AG70" i="2" s="1"/>
  <c r="AF71" i="2"/>
  <c r="AG71" i="2" s="1"/>
  <c r="AF72" i="2"/>
  <c r="AG72" i="2" s="1"/>
  <c r="AF73" i="2"/>
  <c r="AG73" i="2" s="1"/>
  <c r="AF74" i="2"/>
  <c r="AG74" i="2" s="1"/>
  <c r="AF75" i="2"/>
  <c r="AG75" i="2" s="1"/>
  <c r="AF76" i="2"/>
  <c r="AG76" i="2" s="1"/>
  <c r="AF77" i="2"/>
  <c r="AG77" i="2" s="1"/>
  <c r="AF78" i="2"/>
  <c r="AG78" i="2" s="1"/>
  <c r="AF79" i="2"/>
  <c r="AG79" i="2" s="1"/>
  <c r="AF80" i="2"/>
  <c r="AG80" i="2" s="1"/>
  <c r="AF81" i="2"/>
  <c r="AG81" i="2" s="1"/>
  <c r="AF82" i="2"/>
  <c r="AG82" i="2" s="1"/>
  <c r="AF122" i="2"/>
  <c r="AG122" i="2" s="1"/>
  <c r="AF123" i="2"/>
  <c r="AG123" i="2" s="1"/>
  <c r="AF124" i="2"/>
  <c r="AG124" i="2" s="1"/>
  <c r="AF125" i="2"/>
  <c r="AG125" i="2" s="1"/>
  <c r="AF126" i="2"/>
  <c r="AG126" i="2" s="1"/>
  <c r="AF127" i="2"/>
  <c r="AG127" i="2" s="1"/>
  <c r="AF128" i="2"/>
  <c r="AG128" i="2" s="1"/>
  <c r="AF83" i="2"/>
  <c r="AG83" i="2" s="1"/>
  <c r="AF84" i="2"/>
  <c r="AG84" i="2" s="1"/>
  <c r="AF85" i="2"/>
  <c r="AG85" i="2" s="1"/>
  <c r="AF86" i="2"/>
  <c r="AG86" i="2" s="1"/>
  <c r="AF87" i="2"/>
  <c r="AG87" i="2" s="1"/>
  <c r="AF129" i="2"/>
  <c r="AG129" i="2" s="1"/>
  <c r="AF131" i="2"/>
  <c r="AG131" i="2" s="1"/>
  <c r="AF132" i="2"/>
  <c r="AG132" i="2" s="1"/>
  <c r="AF28" i="2"/>
  <c r="AG28" i="2" s="1"/>
  <c r="AF12" i="2"/>
  <c r="AG12" i="2" s="1"/>
  <c r="AF91" i="2"/>
  <c r="AG91" i="2" s="1"/>
  <c r="AF92" i="2"/>
  <c r="AG92" i="2" s="1"/>
  <c r="AF95" i="2"/>
  <c r="AG95" i="2" s="1"/>
  <c r="AF93" i="2"/>
  <c r="AG93" i="2" s="1"/>
  <c r="AF94" i="2"/>
  <c r="AG94" i="2" s="1"/>
  <c r="AF116" i="2"/>
  <c r="AG116" i="2" s="1"/>
  <c r="AF103" i="2"/>
  <c r="AG103" i="2" s="1"/>
  <c r="AF136" i="2"/>
  <c r="AG136" i="2" s="1"/>
  <c r="AF113" i="2"/>
  <c r="AG113" i="2" s="1"/>
  <c r="AF89" i="2"/>
  <c r="AG89" i="2" s="1"/>
  <c r="G3" i="2"/>
  <c r="K3" i="2" s="1"/>
  <c r="G90" i="2"/>
  <c r="K90" i="2" s="1"/>
  <c r="G125" i="2"/>
  <c r="K125" i="2" s="1"/>
  <c r="G124" i="2"/>
  <c r="K124" i="2" s="1"/>
  <c r="G123" i="2"/>
  <c r="K123" i="2" s="1"/>
  <c r="G122" i="2"/>
  <c r="K122" i="2" s="1"/>
  <c r="G82" i="2"/>
  <c r="K82" i="2" s="1"/>
  <c r="G81" i="2"/>
  <c r="K81" i="2" s="1"/>
  <c r="G79" i="2"/>
  <c r="K79" i="2" s="1"/>
  <c r="G71" i="2"/>
  <c r="K71" i="2" s="1"/>
  <c r="G54" i="2"/>
  <c r="K54" i="2" s="1"/>
  <c r="G53" i="2"/>
  <c r="K53" i="2" s="1"/>
  <c r="G52" i="2"/>
  <c r="K52" i="2" s="1"/>
  <c r="G107" i="2"/>
  <c r="K107" i="2" s="1"/>
  <c r="G105" i="2"/>
  <c r="K105" i="2" s="1"/>
  <c r="G48" i="2"/>
  <c r="K48" i="2" s="1"/>
  <c r="G47" i="2"/>
  <c r="K47" i="2" s="1"/>
  <c r="G45" i="2"/>
  <c r="K45" i="2" s="1"/>
  <c r="G37" i="2"/>
  <c r="K37" i="2" s="1"/>
  <c r="G34" i="2"/>
  <c r="K34" i="2" s="1"/>
  <c r="G25" i="2"/>
  <c r="K25" i="2" s="1"/>
  <c r="G24" i="2"/>
  <c r="K24" i="2" s="1"/>
  <c r="G74" i="2"/>
  <c r="K74" i="2" s="1"/>
  <c r="G75" i="2"/>
  <c r="K75" i="2" s="1"/>
  <c r="G76" i="2"/>
  <c r="K76" i="2" s="1"/>
  <c r="G77" i="2"/>
  <c r="K77" i="2" s="1"/>
  <c r="G78" i="2"/>
  <c r="K78" i="2" s="1"/>
  <c r="G80" i="2"/>
  <c r="K80" i="2" s="1"/>
  <c r="G126" i="2"/>
  <c r="K126" i="2" s="1"/>
  <c r="G127" i="2"/>
  <c r="K127" i="2" s="1"/>
  <c r="G130" i="2"/>
  <c r="K130" i="2" s="1"/>
  <c r="G83" i="2"/>
  <c r="K83" i="2" s="1"/>
  <c r="G128" i="2"/>
  <c r="K128" i="2" s="1"/>
  <c r="G84" i="2"/>
  <c r="K84" i="2" s="1"/>
  <c r="G85" i="2"/>
  <c r="K85" i="2" s="1"/>
  <c r="G86" i="2"/>
  <c r="K86" i="2" s="1"/>
  <c r="G87" i="2"/>
  <c r="K87" i="2" s="1"/>
  <c r="G114" i="2"/>
  <c r="K114" i="2" s="1"/>
  <c r="G137" i="2"/>
  <c r="K137" i="2" s="1"/>
  <c r="G57" i="2"/>
  <c r="K57" i="2" s="1"/>
  <c r="G58" i="2"/>
  <c r="K58" i="2" s="1"/>
  <c r="G117" i="2"/>
  <c r="K117" i="2" s="1"/>
  <c r="G59" i="2"/>
  <c r="K59" i="2" s="1"/>
  <c r="G60" i="2"/>
  <c r="K60" i="2" s="1"/>
  <c r="G61" i="2"/>
  <c r="K61" i="2" s="1"/>
  <c r="G62" i="2"/>
  <c r="K62" i="2" s="1"/>
  <c r="G63" i="2"/>
  <c r="K63" i="2" s="1"/>
  <c r="G64" i="2"/>
  <c r="K64" i="2" s="1"/>
  <c r="G65" i="2"/>
  <c r="K65" i="2" s="1"/>
  <c r="G119" i="2"/>
  <c r="K119" i="2" s="1"/>
  <c r="G66" i="2"/>
  <c r="K66" i="2" s="1"/>
  <c r="G67" i="2"/>
  <c r="K67" i="2" s="1"/>
  <c r="G68" i="2"/>
  <c r="K68" i="2" s="1"/>
  <c r="G69" i="2"/>
  <c r="K69" i="2" s="1"/>
  <c r="K70" i="2"/>
  <c r="G72" i="2"/>
  <c r="K72" i="2" s="1"/>
  <c r="G73" i="2"/>
  <c r="K73" i="2" s="1"/>
  <c r="G113" i="2"/>
  <c r="K113" i="2" s="1"/>
  <c r="G55" i="2"/>
  <c r="K55" i="2" s="1"/>
  <c r="G51" i="2"/>
  <c r="K51" i="2" s="1"/>
  <c r="G56" i="2"/>
  <c r="K56" i="2" s="1"/>
  <c r="G17" i="2"/>
  <c r="K17" i="2" s="1"/>
  <c r="G18" i="2"/>
  <c r="K18" i="2" s="1"/>
  <c r="G19" i="2"/>
  <c r="K19" i="2" s="1"/>
  <c r="G16" i="2"/>
  <c r="K16" i="2" s="1"/>
  <c r="G116" i="2"/>
  <c r="K116" i="2" s="1"/>
  <c r="G28" i="2"/>
  <c r="K28" i="2" s="1"/>
  <c r="G22" i="2"/>
  <c r="K22" i="2" s="1"/>
  <c r="G21" i="2"/>
  <c r="K21" i="2" s="1"/>
  <c r="G23" i="2"/>
  <c r="K23" i="2" s="1"/>
  <c r="G103" i="2"/>
  <c r="K103" i="2" s="1"/>
  <c r="G26" i="2"/>
  <c r="K26" i="2" s="1"/>
  <c r="G27" i="2"/>
  <c r="K27" i="2" s="1"/>
  <c r="G29" i="2"/>
  <c r="K29" i="2" s="1"/>
  <c r="G30" i="2"/>
  <c r="K30" i="2" s="1"/>
  <c r="G31" i="2"/>
  <c r="K31" i="2" s="1"/>
  <c r="G32" i="2"/>
  <c r="K32" i="2" s="1"/>
  <c r="G33" i="2"/>
  <c r="K33" i="2" s="1"/>
  <c r="G35" i="2"/>
  <c r="K35" i="2" s="1"/>
  <c r="G36" i="2"/>
  <c r="K36" i="2" s="1"/>
  <c r="G38" i="2"/>
  <c r="K38" i="2" s="1"/>
  <c r="G40" i="2"/>
  <c r="K40" i="2" s="1"/>
  <c r="G41" i="2"/>
  <c r="G42" i="2"/>
  <c r="G43" i="2"/>
  <c r="K43" i="2" s="1"/>
  <c r="G44" i="2"/>
  <c r="K44" i="2" s="1"/>
  <c r="G136" i="2"/>
  <c r="K136" i="2" s="1"/>
  <c r="G46" i="2"/>
  <c r="K46" i="2" s="1"/>
  <c r="G49" i="2"/>
  <c r="K49" i="2" s="1"/>
  <c r="G50" i="2"/>
  <c r="K50" i="2" s="1"/>
  <c r="G7" i="2"/>
  <c r="K7" i="2" s="1"/>
  <c r="G8" i="2"/>
  <c r="K8" i="2" s="1"/>
  <c r="G9" i="2"/>
  <c r="K9" i="2" s="1"/>
  <c r="G10" i="2"/>
  <c r="K10" i="2" s="1"/>
  <c r="G11" i="2"/>
  <c r="K11" i="2" s="1"/>
  <c r="G12" i="2"/>
  <c r="K12" i="2" s="1"/>
  <c r="G91" i="2"/>
  <c r="K91" i="2" s="1"/>
  <c r="G13" i="2"/>
  <c r="K13" i="2" s="1"/>
  <c r="G14" i="2"/>
  <c r="K14" i="2" s="1"/>
  <c r="G15" i="2"/>
  <c r="K15" i="2" s="1"/>
  <c r="G92" i="2"/>
  <c r="K92" i="2" s="1"/>
  <c r="G95" i="2"/>
  <c r="G93" i="2"/>
  <c r="K93" i="2" s="1"/>
  <c r="G94" i="2"/>
  <c r="K94" i="2" s="1"/>
  <c r="G4" i="2"/>
  <c r="K4" i="2" s="1"/>
  <c r="G5" i="2"/>
  <c r="K5" i="2" s="1"/>
  <c r="G6" i="2"/>
  <c r="K6" i="2" s="1"/>
  <c r="G89" i="2"/>
  <c r="K89" i="2" s="1"/>
  <c r="S89" i="2"/>
  <c r="I10" i="1" s="1"/>
  <c r="G10" i="28" s="1"/>
  <c r="W17" i="33" l="1"/>
  <c r="V17" i="33"/>
  <c r="W123" i="33"/>
  <c r="V123" i="33"/>
  <c r="V126" i="33"/>
  <c r="W126" i="33"/>
  <c r="W134" i="33"/>
  <c r="V134" i="33"/>
  <c r="W42" i="33"/>
  <c r="V42" i="33"/>
  <c r="W56" i="33"/>
  <c r="V56" i="33"/>
  <c r="V62" i="33"/>
  <c r="W62" i="33"/>
  <c r="W70" i="33"/>
  <c r="V70" i="33"/>
  <c r="W90" i="33"/>
  <c r="V90" i="33"/>
  <c r="V112" i="33"/>
  <c r="W112" i="33"/>
  <c r="W120" i="33"/>
  <c r="V120" i="33"/>
  <c r="W131" i="33"/>
  <c r="V131" i="33"/>
  <c r="W5" i="33"/>
  <c r="V5" i="33"/>
  <c r="W11" i="33"/>
  <c r="V11" i="33"/>
  <c r="W25" i="33"/>
  <c r="V25" i="33"/>
  <c r="W50" i="33"/>
  <c r="V50" i="33"/>
  <c r="W98" i="33"/>
  <c r="V98" i="33"/>
  <c r="V101" i="33"/>
  <c r="W101" i="33"/>
  <c r="W117" i="33"/>
  <c r="V117" i="33"/>
  <c r="W128" i="33"/>
  <c r="V128" i="33"/>
  <c r="W8" i="33"/>
  <c r="V8" i="33"/>
  <c r="W39" i="33"/>
  <c r="V39" i="33"/>
  <c r="W78" i="33"/>
  <c r="V78" i="33"/>
  <c r="W84" i="33"/>
  <c r="V84" i="33"/>
  <c r="W95" i="33"/>
  <c r="V95" i="33"/>
  <c r="W106" i="33"/>
  <c r="V106" i="33"/>
  <c r="V109" i="33"/>
  <c r="W109" i="33"/>
  <c r="W114" i="33"/>
  <c r="V114" i="33"/>
  <c r="W3" i="33"/>
  <c r="V3" i="33"/>
  <c r="W23" i="33"/>
  <c r="V23" i="33"/>
  <c r="W82" i="33"/>
  <c r="V82" i="33"/>
  <c r="W37" i="33"/>
  <c r="V37" i="33"/>
  <c r="V48" i="33"/>
  <c r="W48" i="33"/>
  <c r="W65" i="33"/>
  <c r="V65" i="33"/>
  <c r="W85" i="33"/>
  <c r="V85" i="33"/>
  <c r="W13" i="33"/>
  <c r="V13" i="33"/>
  <c r="V36" i="33"/>
  <c r="W36" i="33"/>
  <c r="W92" i="33"/>
  <c r="V92" i="33"/>
  <c r="W136" i="33"/>
  <c r="V136" i="33"/>
  <c r="W58" i="33"/>
  <c r="V58" i="33"/>
  <c r="W4" i="33"/>
  <c r="V4" i="33"/>
  <c r="W10" i="33"/>
  <c r="V10" i="33"/>
  <c r="W24" i="33"/>
  <c r="V24" i="33"/>
  <c r="W32" i="33"/>
  <c r="V32" i="33"/>
  <c r="W49" i="33"/>
  <c r="V49" i="33"/>
  <c r="W61" i="33"/>
  <c r="V61" i="33"/>
  <c r="W66" i="33"/>
  <c r="V66" i="33"/>
  <c r="W69" i="33"/>
  <c r="V69" i="33"/>
  <c r="V89" i="33"/>
  <c r="W89" i="33"/>
  <c r="W97" i="33"/>
  <c r="V97" i="33"/>
  <c r="W130" i="33"/>
  <c r="V130" i="33"/>
  <c r="W21" i="33"/>
  <c r="V21" i="33"/>
  <c r="W38" i="33"/>
  <c r="V38" i="33"/>
  <c r="W77" i="33"/>
  <c r="V77" i="33"/>
  <c r="W83" i="33"/>
  <c r="V83" i="33"/>
  <c r="W116" i="33"/>
  <c r="V116" i="33"/>
  <c r="V127" i="33"/>
  <c r="W127" i="33"/>
  <c r="W93" i="33"/>
  <c r="V93" i="33"/>
  <c r="W52" i="33"/>
  <c r="V52" i="33"/>
  <c r="W105" i="33"/>
  <c r="V105" i="33"/>
  <c r="V113" i="33"/>
  <c r="W113" i="33"/>
  <c r="W135" i="33"/>
  <c r="V135" i="33"/>
  <c r="W96" i="33"/>
  <c r="V96" i="33"/>
  <c r="W31" i="33"/>
  <c r="V31" i="33"/>
  <c r="W76" i="33"/>
  <c r="V76" i="33"/>
  <c r="V88" i="33"/>
  <c r="W88" i="33"/>
  <c r="W16" i="33"/>
  <c r="V16" i="33"/>
  <c r="W19" i="33"/>
  <c r="V19" i="33"/>
  <c r="W30" i="33"/>
  <c r="V30" i="33"/>
  <c r="W64" i="33"/>
  <c r="V64" i="33"/>
  <c r="W103" i="33"/>
  <c r="V103" i="33"/>
  <c r="W44" i="33"/>
  <c r="V44" i="33"/>
  <c r="W47" i="33"/>
  <c r="V47" i="33"/>
  <c r="V55" i="33"/>
  <c r="W55" i="33"/>
  <c r="V75" i="33"/>
  <c r="W75" i="33"/>
  <c r="W122" i="33"/>
  <c r="V122" i="33"/>
  <c r="W18" i="33"/>
  <c r="V18" i="33"/>
  <c r="V29" i="33"/>
  <c r="W29" i="33"/>
  <c r="W63" i="33"/>
  <c r="V63" i="33"/>
  <c r="W26" i="33"/>
  <c r="V26" i="33"/>
  <c r="W71" i="33"/>
  <c r="V71" i="33"/>
  <c r="W91" i="33"/>
  <c r="V91" i="33"/>
  <c r="V102" i="33"/>
  <c r="W102" i="33"/>
  <c r="W121" i="33"/>
  <c r="V121" i="33"/>
  <c r="W12" i="33"/>
  <c r="V12" i="33"/>
  <c r="W40" i="33"/>
  <c r="V40" i="33"/>
  <c r="W43" i="33"/>
  <c r="V43" i="33"/>
  <c r="W51" i="33"/>
  <c r="V51" i="33"/>
  <c r="W57" i="33"/>
  <c r="V57" i="33"/>
  <c r="V74" i="33"/>
  <c r="W74" i="33"/>
  <c r="W79" i="33"/>
  <c r="V79" i="33"/>
  <c r="W110" i="33"/>
  <c r="V110" i="33"/>
  <c r="V20" i="33"/>
  <c r="V73" i="33"/>
  <c r="V137" i="33"/>
  <c r="W7" i="33"/>
  <c r="V72" i="33"/>
  <c r="W87" i="33"/>
  <c r="V124" i="33"/>
  <c r="W6" i="33"/>
  <c r="W33" i="33"/>
  <c r="W45" i="33"/>
  <c r="W59" i="33"/>
  <c r="W86" i="33"/>
  <c r="W99" i="33"/>
  <c r="W111" i="33"/>
  <c r="V100" i="33"/>
  <c r="W60" i="33"/>
  <c r="W125" i="33"/>
  <c r="W34" i="33"/>
  <c r="W46" i="33"/>
  <c r="V14" i="33"/>
  <c r="W15" i="33"/>
  <c r="V27" i="33"/>
  <c r="W28" i="33"/>
  <c r="W41" i="33"/>
  <c r="V53" i="33"/>
  <c r="W54" i="33"/>
  <c r="V67" i="33"/>
  <c r="W68" i="33"/>
  <c r="V80" i="33"/>
  <c r="W81" i="33"/>
  <c r="V94" i="33"/>
  <c r="V107" i="33"/>
  <c r="W108" i="33"/>
  <c r="V118" i="33"/>
  <c r="W119" i="33"/>
  <c r="V132" i="33"/>
  <c r="W133" i="33"/>
  <c r="V104" i="33"/>
  <c r="V115" i="33"/>
  <c r="V129" i="33"/>
  <c r="C65" i="27"/>
  <c r="C80" i="27"/>
  <c r="B80" i="31" s="1"/>
  <c r="C51" i="27"/>
  <c r="C91" i="27"/>
  <c r="C69" i="27"/>
  <c r="B69" i="31" s="1"/>
  <c r="C78" i="27"/>
  <c r="B78" i="31" s="1"/>
  <c r="K12" i="1"/>
  <c r="M27" i="27"/>
  <c r="K11" i="1"/>
  <c r="M25" i="27"/>
  <c r="M21" i="27"/>
  <c r="O21" i="27" s="1"/>
  <c r="C71" i="27"/>
  <c r="D71" i="27" s="1"/>
  <c r="M90" i="27"/>
  <c r="O90" i="27" s="1"/>
  <c r="M13" i="27"/>
  <c r="O13" i="27" s="1"/>
  <c r="M59" i="27"/>
  <c r="O59" i="27" s="1"/>
  <c r="C96" i="27"/>
  <c r="B96" i="31" s="1"/>
  <c r="H96" i="31" s="1"/>
  <c r="C75" i="27"/>
  <c r="B75" i="31" s="1"/>
  <c r="H75" i="31" s="1"/>
  <c r="C24" i="27"/>
  <c r="B24" i="31" s="1"/>
  <c r="E24" i="31" s="1"/>
  <c r="F24" i="31" s="1"/>
  <c r="C16" i="27"/>
  <c r="D16" i="27" s="1"/>
  <c r="K10" i="1"/>
  <c r="M10" i="1" s="1"/>
  <c r="H10" i="30" s="1"/>
  <c r="I10" i="30" s="1"/>
  <c r="M51" i="27"/>
  <c r="O51" i="27" s="1"/>
  <c r="M45" i="27"/>
  <c r="O45" i="27" s="1"/>
  <c r="C74" i="27"/>
  <c r="B74" i="31" s="1"/>
  <c r="G74" i="31" s="1"/>
  <c r="C23" i="27"/>
  <c r="B23" i="31" s="1"/>
  <c r="G23" i="31" s="1"/>
  <c r="C14" i="27"/>
  <c r="D14" i="27" s="1"/>
  <c r="L11" i="1"/>
  <c r="M11" i="1" s="1"/>
  <c r="N11" i="1" s="1"/>
  <c r="I11" i="30" s="1"/>
  <c r="M68" i="27"/>
  <c r="O68" i="27" s="1"/>
  <c r="C13" i="27"/>
  <c r="M78" i="27"/>
  <c r="O78" i="27" s="1"/>
  <c r="M82" i="27"/>
  <c r="O82" i="27" s="1"/>
  <c r="C21" i="27"/>
  <c r="D21" i="27" s="1"/>
  <c r="M19" i="27"/>
  <c r="O19" i="27" s="1"/>
  <c r="M57" i="27"/>
  <c r="O57" i="27" s="1"/>
  <c r="M43" i="27"/>
  <c r="O43" i="27" s="1"/>
  <c r="M70" i="27"/>
  <c r="O70" i="27" s="1"/>
  <c r="M84" i="27"/>
  <c r="O84" i="27" s="1"/>
  <c r="I11" i="1"/>
  <c r="G11" i="28" s="1"/>
  <c r="D92" i="27"/>
  <c r="C20" i="27"/>
  <c r="B20" i="31" s="1"/>
  <c r="G20" i="31" s="1"/>
  <c r="C10" i="1"/>
  <c r="B10" i="30" s="1"/>
  <c r="K13" i="1"/>
  <c r="M13" i="1" s="1"/>
  <c r="N13" i="1" s="1"/>
  <c r="I13" i="30" s="1"/>
  <c r="M18" i="27"/>
  <c r="O18" i="27" s="1"/>
  <c r="M56" i="27"/>
  <c r="O56" i="27" s="1"/>
  <c r="M42" i="27"/>
  <c r="O42" i="27" s="1"/>
  <c r="M71" i="27"/>
  <c r="O71" i="27" s="1"/>
  <c r="M85" i="27"/>
  <c r="O85" i="27" s="1"/>
  <c r="D91" i="27"/>
  <c r="C79" i="27"/>
  <c r="B79" i="31" s="1"/>
  <c r="I79" i="31" s="1"/>
  <c r="C19" i="27"/>
  <c r="B19" i="31" s="1"/>
  <c r="C19" i="31" s="1"/>
  <c r="K14" i="1"/>
  <c r="M14" i="1" s="1"/>
  <c r="L12" i="1"/>
  <c r="M12" i="1" s="1"/>
  <c r="N12" i="1" s="1"/>
  <c r="I12" i="30" s="1"/>
  <c r="M17" i="27"/>
  <c r="O17" i="27" s="1"/>
  <c r="M55" i="27"/>
  <c r="O55" i="27" s="1"/>
  <c r="M41" i="27"/>
  <c r="O41" i="27" s="1"/>
  <c r="M72" i="27"/>
  <c r="O72" i="27" s="1"/>
  <c r="M86" i="27"/>
  <c r="O86" i="27" s="1"/>
  <c r="M10" i="27"/>
  <c r="O10" i="27" s="1"/>
  <c r="M16" i="27"/>
  <c r="O16" i="27" s="1"/>
  <c r="M54" i="27"/>
  <c r="O54" i="27" s="1"/>
  <c r="M40" i="27"/>
  <c r="O40" i="27" s="1"/>
  <c r="M73" i="27"/>
  <c r="O73" i="27" s="1"/>
  <c r="M87" i="27"/>
  <c r="I13" i="1"/>
  <c r="G13" i="28" s="1"/>
  <c r="C68" i="27"/>
  <c r="D68" i="27" s="1"/>
  <c r="M29" i="27"/>
  <c r="O29" i="27" s="1"/>
  <c r="M15" i="27"/>
  <c r="O15" i="27" s="1"/>
  <c r="M53" i="27"/>
  <c r="O53" i="27" s="1"/>
  <c r="M39" i="27"/>
  <c r="O39" i="27" s="1"/>
  <c r="M74" i="27"/>
  <c r="O74" i="27" s="1"/>
  <c r="M88" i="27"/>
  <c r="O88" i="27" s="1"/>
  <c r="C89" i="27"/>
  <c r="B89" i="31" s="1"/>
  <c r="I89" i="31" s="1"/>
  <c r="C18" i="27"/>
  <c r="B18" i="31" s="1"/>
  <c r="G18" i="31" s="1"/>
  <c r="I14" i="1"/>
  <c r="G14" i="28" s="1"/>
  <c r="C97" i="27"/>
  <c r="B97" i="31" s="1"/>
  <c r="E97" i="31" s="1"/>
  <c r="F97" i="31" s="1"/>
  <c r="C17" i="27"/>
  <c r="B17" i="31" s="1"/>
  <c r="G17" i="31" s="1"/>
  <c r="M28" i="27"/>
  <c r="O28" i="27" s="1"/>
  <c r="M14" i="27"/>
  <c r="O14" i="27" s="1"/>
  <c r="M52" i="27"/>
  <c r="O52" i="27" s="1"/>
  <c r="M38" i="27"/>
  <c r="O38" i="27" s="1"/>
  <c r="M75" i="27"/>
  <c r="O75" i="27" s="1"/>
  <c r="M89" i="27"/>
  <c r="O89" i="27" s="1"/>
  <c r="M37" i="27"/>
  <c r="O37" i="27" s="1"/>
  <c r="M76" i="27"/>
  <c r="O76" i="27" s="1"/>
  <c r="C12" i="1"/>
  <c r="B12" i="28" s="1"/>
  <c r="C15" i="27"/>
  <c r="D15" i="27" s="1"/>
  <c r="M26" i="27"/>
  <c r="O26" i="27" s="1"/>
  <c r="M12" i="27"/>
  <c r="O12" i="27" s="1"/>
  <c r="M50" i="27"/>
  <c r="O50" i="27" s="1"/>
  <c r="M36" i="27"/>
  <c r="O36" i="27" s="1"/>
  <c r="M77" i="27"/>
  <c r="O77" i="27" s="1"/>
  <c r="M91" i="27"/>
  <c r="O91" i="27" s="1"/>
  <c r="I12" i="1"/>
  <c r="G12" i="28" s="1"/>
  <c r="C73" i="27"/>
  <c r="B73" i="31" s="1"/>
  <c r="E73" i="31" s="1"/>
  <c r="F73" i="31" s="1"/>
  <c r="C59" i="27"/>
  <c r="B59" i="31" s="1"/>
  <c r="E59" i="31" s="1"/>
  <c r="F59" i="31" s="1"/>
  <c r="M24" i="27"/>
  <c r="O24" i="27" s="1"/>
  <c r="M34" i="27"/>
  <c r="O34" i="27" s="1"/>
  <c r="M48" i="27"/>
  <c r="O48" i="27" s="1"/>
  <c r="M65" i="27"/>
  <c r="O65" i="27" s="1"/>
  <c r="M79" i="27"/>
  <c r="O79" i="27" s="1"/>
  <c r="M96" i="27"/>
  <c r="O96" i="27" s="1"/>
  <c r="C85" i="27"/>
  <c r="D85" i="27" s="1"/>
  <c r="M11" i="27"/>
  <c r="O11" i="27" s="1"/>
  <c r="M35" i="27"/>
  <c r="O35" i="27" s="1"/>
  <c r="M23" i="27"/>
  <c r="O23" i="27" s="1"/>
  <c r="M61" i="27"/>
  <c r="O61" i="27" s="1"/>
  <c r="M47" i="27"/>
  <c r="O47" i="27" s="1"/>
  <c r="M66" i="27"/>
  <c r="O66" i="27" s="1"/>
  <c r="M80" i="27"/>
  <c r="O80" i="27" s="1"/>
  <c r="M97" i="27"/>
  <c r="O97" i="27" s="1"/>
  <c r="M49" i="27"/>
  <c r="O49" i="27" s="1"/>
  <c r="D65" i="27"/>
  <c r="C11" i="1"/>
  <c r="B11" i="30" s="1"/>
  <c r="M22" i="27"/>
  <c r="O22" i="27" s="1"/>
  <c r="M60" i="27"/>
  <c r="O60" i="27" s="1"/>
  <c r="M46" i="27"/>
  <c r="O46" i="27" s="1"/>
  <c r="M67" i="27"/>
  <c r="O67" i="27" s="1"/>
  <c r="M81" i="27"/>
  <c r="O81" i="27" s="1"/>
  <c r="M20" i="27"/>
  <c r="O20" i="27" s="1"/>
  <c r="M58" i="27"/>
  <c r="O58" i="27" s="1"/>
  <c r="M44" i="27"/>
  <c r="O44" i="27" s="1"/>
  <c r="M69" i="27"/>
  <c r="O69" i="27" s="1"/>
  <c r="M83" i="27"/>
  <c r="O83" i="27" s="1"/>
  <c r="E10" i="28"/>
  <c r="E10" i="30"/>
  <c r="J18" i="1"/>
  <c r="H23" i="28"/>
  <c r="N23" i="1"/>
  <c r="I23" i="30" s="1"/>
  <c r="J23" i="1"/>
  <c r="D21" i="1"/>
  <c r="C21" i="30" s="1"/>
  <c r="J20" i="1"/>
  <c r="D18" i="1"/>
  <c r="C18" i="30" s="1"/>
  <c r="J17" i="1"/>
  <c r="H15" i="30"/>
  <c r="J15" i="1"/>
  <c r="H22" i="30"/>
  <c r="D23" i="1"/>
  <c r="C23" i="28" s="1"/>
  <c r="J22" i="1"/>
  <c r="D20" i="1"/>
  <c r="C20" i="30" s="1"/>
  <c r="J19" i="1"/>
  <c r="D17" i="1"/>
  <c r="C17" i="28" s="1"/>
  <c r="J16" i="1"/>
  <c r="J23" i="30"/>
  <c r="B106" i="31"/>
  <c r="H106" i="31" s="1"/>
  <c r="B118" i="31"/>
  <c r="H118" i="31" s="1"/>
  <c r="B110" i="31"/>
  <c r="H110" i="31" s="1"/>
  <c r="B112" i="31"/>
  <c r="H112" i="31" s="1"/>
  <c r="B116" i="31"/>
  <c r="H116" i="31" s="1"/>
  <c r="B98" i="31"/>
  <c r="H98" i="31" s="1"/>
  <c r="B65" i="31"/>
  <c r="H65" i="31" s="1"/>
  <c r="B104" i="31"/>
  <c r="H104" i="31" s="1"/>
  <c r="B122" i="31"/>
  <c r="H122" i="31" s="1"/>
  <c r="H81" i="31"/>
  <c r="E81" i="31"/>
  <c r="F81" i="31" s="1"/>
  <c r="I81" i="31"/>
  <c r="C81" i="31"/>
  <c r="E99" i="31"/>
  <c r="F99" i="31" s="1"/>
  <c r="G99" i="31"/>
  <c r="E80" i="31"/>
  <c r="F80" i="31" s="1"/>
  <c r="G80" i="31"/>
  <c r="E76" i="31"/>
  <c r="F76" i="31" s="1"/>
  <c r="G76" i="31"/>
  <c r="H79" i="31"/>
  <c r="C79" i="31"/>
  <c r="E78" i="31"/>
  <c r="F78" i="31" s="1"/>
  <c r="G78" i="31"/>
  <c r="H69" i="31"/>
  <c r="E69" i="31"/>
  <c r="F69" i="31" s="1"/>
  <c r="I69" i="31"/>
  <c r="C69" i="31"/>
  <c r="H100" i="31"/>
  <c r="D100" i="31"/>
  <c r="J100" i="31"/>
  <c r="E100" i="31"/>
  <c r="F100" i="31" s="1"/>
  <c r="E82" i="31"/>
  <c r="F82" i="31" s="1"/>
  <c r="G82" i="31"/>
  <c r="E88" i="31"/>
  <c r="F88" i="31" s="1"/>
  <c r="G88" i="31"/>
  <c r="B102" i="31"/>
  <c r="G102" i="31" s="1"/>
  <c r="B108" i="31"/>
  <c r="C108" i="31" s="1"/>
  <c r="B114" i="31"/>
  <c r="C114" i="31" s="1"/>
  <c r="B120" i="31"/>
  <c r="C120" i="31" s="1"/>
  <c r="B91" i="31"/>
  <c r="G91" i="31" s="1"/>
  <c r="B92" i="31"/>
  <c r="C92" i="31" s="1"/>
  <c r="B101" i="31"/>
  <c r="C101" i="31" s="1"/>
  <c r="B103" i="31"/>
  <c r="C103" i="31" s="1"/>
  <c r="B105" i="31"/>
  <c r="C105" i="31" s="1"/>
  <c r="B107" i="31"/>
  <c r="J107" i="31" s="1"/>
  <c r="B109" i="31"/>
  <c r="H109" i="31" s="1"/>
  <c r="B111" i="31"/>
  <c r="H111" i="31" s="1"/>
  <c r="B113" i="31"/>
  <c r="C113" i="31" s="1"/>
  <c r="B115" i="31"/>
  <c r="C115" i="31" s="1"/>
  <c r="B117" i="31"/>
  <c r="C117" i="31" s="1"/>
  <c r="B119" i="31"/>
  <c r="J119" i="31" s="1"/>
  <c r="B121" i="31"/>
  <c r="H121" i="31" s="1"/>
  <c r="B123" i="31"/>
  <c r="H123" i="31" s="1"/>
  <c r="G90" i="31"/>
  <c r="E96" i="31"/>
  <c r="F96" i="31" s="1"/>
  <c r="O27" i="27"/>
  <c r="C96" i="31"/>
  <c r="I96" i="31"/>
  <c r="C100" i="31"/>
  <c r="I100" i="31"/>
  <c r="H99" i="31"/>
  <c r="C97" i="31"/>
  <c r="I97" i="31"/>
  <c r="C99" i="31"/>
  <c r="I99" i="31"/>
  <c r="G96" i="31"/>
  <c r="D99" i="31"/>
  <c r="J99" i="31"/>
  <c r="G100" i="31"/>
  <c r="H76" i="31"/>
  <c r="H90" i="31"/>
  <c r="C74" i="31"/>
  <c r="I74" i="31"/>
  <c r="C76" i="31"/>
  <c r="I76" i="31"/>
  <c r="C78" i="31"/>
  <c r="I78" i="31"/>
  <c r="C80" i="31"/>
  <c r="I80" i="31"/>
  <c r="C82" i="31"/>
  <c r="I82" i="31"/>
  <c r="C88" i="31"/>
  <c r="I88" i="31"/>
  <c r="C90" i="31"/>
  <c r="I90" i="31"/>
  <c r="H80" i="31"/>
  <c r="H82" i="31"/>
  <c r="G69" i="31"/>
  <c r="G81" i="31"/>
  <c r="G89" i="31"/>
  <c r="H78" i="31"/>
  <c r="H88" i="31"/>
  <c r="O25" i="27"/>
  <c r="O115" i="27"/>
  <c r="O87" i="27"/>
  <c r="O112" i="27"/>
  <c r="O121" i="27"/>
  <c r="O118" i="27"/>
  <c r="O113" i="27"/>
  <c r="O116" i="27"/>
  <c r="O119" i="27"/>
  <c r="O122" i="27"/>
  <c r="O92" i="27"/>
  <c r="U11" i="27"/>
  <c r="U10" i="27" s="1"/>
  <c r="W88" i="2"/>
  <c r="V88" i="2"/>
  <c r="D80" i="27"/>
  <c r="D80" i="31" s="1"/>
  <c r="C86" i="27"/>
  <c r="C84" i="27"/>
  <c r="C83" i="27"/>
  <c r="D74" i="27"/>
  <c r="D74" i="31" s="1"/>
  <c r="C66" i="27"/>
  <c r="C57" i="27"/>
  <c r="B57" i="31" s="1"/>
  <c r="C70" i="27"/>
  <c r="D75" i="27"/>
  <c r="D75" i="31" s="1"/>
  <c r="C67" i="27"/>
  <c r="C35" i="27"/>
  <c r="D35" i="27" s="1"/>
  <c r="C72" i="27"/>
  <c r="C87" i="27"/>
  <c r="C77" i="27"/>
  <c r="D69" i="27"/>
  <c r="D69" i="31" s="1"/>
  <c r="D78" i="27"/>
  <c r="D78" i="31" s="1"/>
  <c r="D100" i="27"/>
  <c r="D97" i="27"/>
  <c r="D97" i="31" s="1"/>
  <c r="W20" i="2"/>
  <c r="V20" i="2"/>
  <c r="D82" i="27"/>
  <c r="D82" i="31" s="1"/>
  <c r="D99" i="27"/>
  <c r="D81" i="27"/>
  <c r="D81" i="31" s="1"/>
  <c r="D76" i="27"/>
  <c r="D76" i="31" s="1"/>
  <c r="D88" i="27"/>
  <c r="D88" i="31" s="1"/>
  <c r="C10" i="27"/>
  <c r="D10" i="27" s="1"/>
  <c r="C43" i="27"/>
  <c r="D43" i="27" s="1"/>
  <c r="C12" i="27"/>
  <c r="D12" i="27" s="1"/>
  <c r="D90" i="27"/>
  <c r="D90" i="31" s="1"/>
  <c r="J71" i="27"/>
  <c r="J77" i="27"/>
  <c r="J98" i="27"/>
  <c r="J83" i="27"/>
  <c r="J73" i="27"/>
  <c r="J96" i="27"/>
  <c r="J96" i="31" s="1"/>
  <c r="J110" i="27"/>
  <c r="J107" i="27"/>
  <c r="J104" i="27"/>
  <c r="J101" i="27"/>
  <c r="J100" i="27"/>
  <c r="J106" i="27"/>
  <c r="J99" i="27"/>
  <c r="J105" i="27"/>
  <c r="J97" i="27"/>
  <c r="J103" i="27"/>
  <c r="J109" i="27"/>
  <c r="J89" i="27"/>
  <c r="J88" i="27"/>
  <c r="J88" i="31" s="1"/>
  <c r="J66" i="27"/>
  <c r="J65" i="27"/>
  <c r="J68" i="27"/>
  <c r="J74" i="27"/>
  <c r="J79" i="27"/>
  <c r="J80" i="27"/>
  <c r="J80" i="31" s="1"/>
  <c r="J85" i="27"/>
  <c r="J86" i="27"/>
  <c r="J91" i="27"/>
  <c r="J92" i="27"/>
  <c r="J78" i="27"/>
  <c r="J78" i="31" s="1"/>
  <c r="J84" i="27"/>
  <c r="J90" i="27"/>
  <c r="J90" i="31" s="1"/>
  <c r="J82" i="27"/>
  <c r="J82" i="31" s="1"/>
  <c r="J81" i="27"/>
  <c r="J81" i="31" s="1"/>
  <c r="J87" i="27"/>
  <c r="J76" i="27"/>
  <c r="J76" i="31" s="1"/>
  <c r="J75" i="27"/>
  <c r="J72" i="27"/>
  <c r="J70" i="27"/>
  <c r="J69" i="27"/>
  <c r="J69" i="31" s="1"/>
  <c r="J67" i="27"/>
  <c r="C14" i="1"/>
  <c r="B14" i="30" s="1"/>
  <c r="C11" i="27"/>
  <c r="B11" i="31" s="1"/>
  <c r="D13" i="27"/>
  <c r="B13" i="31"/>
  <c r="C13" i="31" s="1"/>
  <c r="G19" i="31"/>
  <c r="I19" i="31"/>
  <c r="D51" i="27"/>
  <c r="B51" i="31"/>
  <c r="E51" i="31" s="1"/>
  <c r="F51" i="31" s="1"/>
  <c r="C17" i="31"/>
  <c r="E22" i="31"/>
  <c r="F22" i="31" s="1"/>
  <c r="I22" i="31"/>
  <c r="C22" i="31"/>
  <c r="G22" i="31"/>
  <c r="H22" i="31"/>
  <c r="B15" i="31"/>
  <c r="I15" i="31" s="1"/>
  <c r="G59" i="31"/>
  <c r="K24" i="1"/>
  <c r="M24" i="1" s="1"/>
  <c r="K20" i="1"/>
  <c r="M20" i="1" s="1"/>
  <c r="C28" i="27"/>
  <c r="C40" i="27"/>
  <c r="C48" i="27"/>
  <c r="C56" i="27"/>
  <c r="K17" i="1"/>
  <c r="M17" i="1" s="1"/>
  <c r="C60" i="27"/>
  <c r="B60" i="31" s="1"/>
  <c r="G60" i="31" s="1"/>
  <c r="C25" i="27"/>
  <c r="C37" i="27"/>
  <c r="C45" i="27"/>
  <c r="C53" i="27"/>
  <c r="K15" i="1"/>
  <c r="M15" i="1" s="1"/>
  <c r="K22" i="1"/>
  <c r="M22" i="1" s="1"/>
  <c r="C34" i="27"/>
  <c r="C42" i="27"/>
  <c r="C50" i="27"/>
  <c r="C58" i="27"/>
  <c r="B58" i="31" s="1"/>
  <c r="C58" i="31" s="1"/>
  <c r="C13" i="1"/>
  <c r="B13" i="30" s="1"/>
  <c r="K19" i="1"/>
  <c r="M19" i="1" s="1"/>
  <c r="C61" i="27"/>
  <c r="B61" i="31" s="1"/>
  <c r="C27" i="27"/>
  <c r="C39" i="27"/>
  <c r="C47" i="27"/>
  <c r="J53" i="27"/>
  <c r="C55" i="27"/>
  <c r="K16" i="1"/>
  <c r="M16" i="1" s="1"/>
  <c r="H16" i="30" s="1"/>
  <c r="C36" i="27"/>
  <c r="C44" i="27"/>
  <c r="C52" i="27"/>
  <c r="K21" i="1"/>
  <c r="M21" i="1" s="1"/>
  <c r="C29" i="27"/>
  <c r="C41" i="27"/>
  <c r="C49" i="27"/>
  <c r="K18" i="1"/>
  <c r="M18" i="1" s="1"/>
  <c r="H18" i="30" s="1"/>
  <c r="C26" i="27"/>
  <c r="C38" i="27"/>
  <c r="C46" i="27"/>
  <c r="C54" i="27"/>
  <c r="H19" i="31"/>
  <c r="I18" i="31"/>
  <c r="I23" i="31"/>
  <c r="E19" i="31"/>
  <c r="F19" i="31" s="1"/>
  <c r="G24" i="31"/>
  <c r="H23" i="31"/>
  <c r="J48" i="27"/>
  <c r="J51" i="27"/>
  <c r="J47" i="27"/>
  <c r="J52" i="27"/>
  <c r="J45" i="27"/>
  <c r="J50" i="27"/>
  <c r="J44" i="27"/>
  <c r="J49" i="27"/>
  <c r="J46" i="27"/>
  <c r="J54" i="27"/>
  <c r="J55" i="27"/>
  <c r="J56" i="27"/>
  <c r="J57" i="27"/>
  <c r="J58" i="27"/>
  <c r="J37" i="27"/>
  <c r="J35" i="27"/>
  <c r="J43" i="27"/>
  <c r="J28" i="27"/>
  <c r="J36" i="27"/>
  <c r="J26" i="27"/>
  <c r="J27" i="27"/>
  <c r="J29" i="27"/>
  <c r="J25" i="27"/>
  <c r="J34" i="27"/>
  <c r="J38" i="27"/>
  <c r="J39" i="27"/>
  <c r="J40" i="27"/>
  <c r="J41" i="27"/>
  <c r="J42" i="27"/>
  <c r="J61" i="27"/>
  <c r="J18" i="27"/>
  <c r="J59" i="27"/>
  <c r="D22" i="27"/>
  <c r="D22" i="31" s="1"/>
  <c r="D24" i="27"/>
  <c r="D24" i="31" s="1"/>
  <c r="J15" i="27"/>
  <c r="J60" i="27"/>
  <c r="J24" i="27"/>
  <c r="J24" i="31" s="1"/>
  <c r="J23" i="27"/>
  <c r="J23" i="31" s="1"/>
  <c r="J22" i="27"/>
  <c r="J22" i="31" s="1"/>
  <c r="J21" i="27"/>
  <c r="J20" i="27"/>
  <c r="J19" i="27"/>
  <c r="J19" i="31" s="1"/>
  <c r="D19" i="27"/>
  <c r="D19" i="31" s="1"/>
  <c r="D18" i="27"/>
  <c r="D18" i="31" s="1"/>
  <c r="J17" i="27"/>
  <c r="J16" i="27"/>
  <c r="F11" i="30"/>
  <c r="B23" i="28"/>
  <c r="B17" i="28"/>
  <c r="F21" i="30"/>
  <c r="B21" i="28"/>
  <c r="F19" i="30"/>
  <c r="C24" i="28"/>
  <c r="F14" i="30"/>
  <c r="C16" i="30"/>
  <c r="B12" i="30"/>
  <c r="C22" i="30"/>
  <c r="B15" i="28"/>
  <c r="F13" i="30"/>
  <c r="B18" i="30"/>
  <c r="F20" i="30"/>
  <c r="B24" i="30"/>
  <c r="B19" i="28"/>
  <c r="F23" i="28"/>
  <c r="F17" i="28"/>
  <c r="F15" i="28"/>
  <c r="B22" i="28"/>
  <c r="B20" i="28"/>
  <c r="B16" i="28"/>
  <c r="F16" i="30"/>
  <c r="C19" i="30"/>
  <c r="F22" i="30"/>
  <c r="B15" i="30"/>
  <c r="F10" i="28"/>
  <c r="F24" i="28"/>
  <c r="F18" i="28"/>
  <c r="C15" i="28"/>
  <c r="F12" i="28"/>
  <c r="J11" i="27"/>
  <c r="J12" i="27"/>
  <c r="H24" i="30"/>
  <c r="H20" i="30"/>
  <c r="H23" i="30"/>
  <c r="H17" i="30"/>
  <c r="J14" i="27"/>
  <c r="J13" i="27"/>
  <c r="J10" i="27"/>
  <c r="D12" i="1"/>
  <c r="J10" i="1"/>
  <c r="W75" i="2"/>
  <c r="V75" i="2"/>
  <c r="W110" i="2"/>
  <c r="V110" i="2"/>
  <c r="W89" i="2"/>
  <c r="V89" i="2"/>
  <c r="W125" i="2"/>
  <c r="V125" i="2"/>
  <c r="W60" i="2"/>
  <c r="V60" i="2"/>
  <c r="W85" i="2"/>
  <c r="V85" i="2"/>
  <c r="W65" i="2"/>
  <c r="V65" i="2"/>
  <c r="W57" i="2"/>
  <c r="V57" i="2"/>
  <c r="W132" i="2"/>
  <c r="V132" i="2"/>
  <c r="W69" i="2"/>
  <c r="V69" i="2"/>
  <c r="W49" i="2"/>
  <c r="V49" i="2"/>
  <c r="W44" i="2"/>
  <c r="V44" i="2"/>
  <c r="V81" i="2"/>
  <c r="V54" i="2"/>
  <c r="W129" i="2"/>
  <c r="V129" i="2"/>
  <c r="W78" i="2"/>
  <c r="V78" i="2"/>
  <c r="W51" i="2"/>
  <c r="V51" i="2"/>
  <c r="W31" i="2"/>
  <c r="V31" i="2"/>
  <c r="W99" i="2"/>
  <c r="V99" i="2"/>
  <c r="W91" i="2"/>
  <c r="V91" i="2"/>
  <c r="V77" i="2"/>
  <c r="W77" i="2"/>
  <c r="V118" i="2"/>
  <c r="W118" i="2"/>
  <c r="V41" i="2"/>
  <c r="W41" i="2"/>
  <c r="V98" i="2"/>
  <c r="W98" i="2"/>
  <c r="V92" i="2"/>
  <c r="W92" i="2"/>
  <c r="V133" i="2"/>
  <c r="W133" i="2"/>
  <c r="V86" i="2"/>
  <c r="W86" i="2"/>
  <c r="V126" i="2"/>
  <c r="W126" i="2"/>
  <c r="V82" i="2"/>
  <c r="W82" i="2"/>
  <c r="V76" i="2"/>
  <c r="W76" i="2"/>
  <c r="V70" i="2"/>
  <c r="W70" i="2"/>
  <c r="V119" i="2"/>
  <c r="W119" i="2"/>
  <c r="V61" i="2"/>
  <c r="W61" i="2"/>
  <c r="V116" i="2"/>
  <c r="W116" i="2"/>
  <c r="V113" i="2"/>
  <c r="W113" i="2"/>
  <c r="V111" i="2"/>
  <c r="W111" i="2"/>
  <c r="V50" i="2"/>
  <c r="W50" i="2"/>
  <c r="V45" i="2"/>
  <c r="W45" i="2"/>
  <c r="V40" i="2"/>
  <c r="W40" i="2"/>
  <c r="V35" i="2"/>
  <c r="W35" i="2"/>
  <c r="V29" i="2"/>
  <c r="W29" i="2"/>
  <c r="G13" i="30" s="1"/>
  <c r="V97" i="2"/>
  <c r="W97" i="2"/>
  <c r="V18" i="2"/>
  <c r="W18" i="2"/>
  <c r="V16" i="2"/>
  <c r="W16" i="2"/>
  <c r="V11" i="2"/>
  <c r="W11" i="2"/>
  <c r="V5" i="2"/>
  <c r="W5" i="2"/>
  <c r="V68" i="2"/>
  <c r="W135" i="2"/>
  <c r="V135" i="2"/>
  <c r="W72" i="2"/>
  <c r="V72" i="2"/>
  <c r="W42" i="2"/>
  <c r="V42" i="2"/>
  <c r="W21" i="2"/>
  <c r="V21" i="2"/>
  <c r="V121" i="2"/>
  <c r="W121" i="2"/>
  <c r="V114" i="2"/>
  <c r="W114" i="2"/>
  <c r="V46" i="2"/>
  <c r="W46" i="2"/>
  <c r="V24" i="2"/>
  <c r="W24" i="2"/>
  <c r="V12" i="2"/>
  <c r="W12" i="2"/>
  <c r="W128" i="2"/>
  <c r="V128" i="2"/>
  <c r="W67" i="2"/>
  <c r="V67" i="2"/>
  <c r="W58" i="2"/>
  <c r="V58" i="2"/>
  <c r="W115" i="2"/>
  <c r="V115" i="2"/>
  <c r="W47" i="2"/>
  <c r="V47" i="2"/>
  <c r="W25" i="2"/>
  <c r="V25" i="2"/>
  <c r="W7" i="2"/>
  <c r="V7" i="2"/>
  <c r="V87" i="2"/>
  <c r="W87" i="2"/>
  <c r="V71" i="2"/>
  <c r="W71" i="2"/>
  <c r="V28" i="2"/>
  <c r="W28" i="2"/>
  <c r="V112" i="2"/>
  <c r="W112" i="2"/>
  <c r="V36" i="2"/>
  <c r="W36" i="2"/>
  <c r="W131" i="2"/>
  <c r="V131" i="2"/>
  <c r="W84" i="2"/>
  <c r="V84" i="2"/>
  <c r="W124" i="2"/>
  <c r="V124" i="2"/>
  <c r="W80" i="2"/>
  <c r="V80" i="2"/>
  <c r="W74" i="2"/>
  <c r="V74" i="2"/>
  <c r="W120" i="2"/>
  <c r="V120" i="2"/>
  <c r="W64" i="2"/>
  <c r="V64" i="2"/>
  <c r="W59" i="2"/>
  <c r="V59" i="2"/>
  <c r="W56" i="2"/>
  <c r="V56" i="2"/>
  <c r="W53" i="2"/>
  <c r="G14" i="30" s="1"/>
  <c r="V53" i="2"/>
  <c r="W109" i="2"/>
  <c r="V109" i="2"/>
  <c r="W105" i="2"/>
  <c r="V105" i="2"/>
  <c r="W43" i="2"/>
  <c r="V43" i="2"/>
  <c r="W39" i="2"/>
  <c r="V39" i="2"/>
  <c r="W33" i="2"/>
  <c r="V33" i="2"/>
  <c r="W26" i="2"/>
  <c r="V26" i="2"/>
  <c r="W101" i="2"/>
  <c r="V101" i="2"/>
  <c r="W23" i="2"/>
  <c r="V23" i="2"/>
  <c r="W95" i="2"/>
  <c r="V95" i="2"/>
  <c r="W14" i="2"/>
  <c r="V14" i="2"/>
  <c r="W9" i="2"/>
  <c r="V9" i="2"/>
  <c r="W3" i="2"/>
  <c r="G10" i="30" s="1"/>
  <c r="V3" i="2"/>
  <c r="W122" i="2"/>
  <c r="V122" i="2"/>
  <c r="W62" i="2"/>
  <c r="V62" i="2"/>
  <c r="W107" i="2"/>
  <c r="V107" i="2"/>
  <c r="W37" i="2"/>
  <c r="V37" i="2"/>
  <c r="W93" i="2"/>
  <c r="V93" i="2"/>
  <c r="V134" i="2"/>
  <c r="W134" i="2"/>
  <c r="V127" i="2"/>
  <c r="W127" i="2"/>
  <c r="V66" i="2"/>
  <c r="W66" i="2"/>
  <c r="V106" i="2"/>
  <c r="W106" i="2"/>
  <c r="V30" i="2"/>
  <c r="W30" i="2"/>
  <c r="V19" i="2"/>
  <c r="W19" i="2"/>
  <c r="G12" i="30" s="1"/>
  <c r="V6" i="2"/>
  <c r="W6" i="2"/>
  <c r="V136" i="2"/>
  <c r="W136" i="2"/>
  <c r="V130" i="2"/>
  <c r="W130" i="2"/>
  <c r="V83" i="2"/>
  <c r="W83" i="2"/>
  <c r="V123" i="2"/>
  <c r="W123" i="2"/>
  <c r="V79" i="2"/>
  <c r="W79" i="2"/>
  <c r="V73" i="2"/>
  <c r="W73" i="2"/>
  <c r="W63" i="2"/>
  <c r="V63" i="2"/>
  <c r="W117" i="2"/>
  <c r="V117" i="2"/>
  <c r="V55" i="2"/>
  <c r="W55" i="2"/>
  <c r="W52" i="2"/>
  <c r="V52" i="2"/>
  <c r="W108" i="2"/>
  <c r="V108" i="2"/>
  <c r="W48" i="2"/>
  <c r="V48" i="2"/>
  <c r="W104" i="2"/>
  <c r="V104" i="2"/>
  <c r="W38" i="2"/>
  <c r="V38" i="2"/>
  <c r="W32" i="2"/>
  <c r="V32" i="2"/>
  <c r="W103" i="2"/>
  <c r="V103" i="2"/>
  <c r="W100" i="2"/>
  <c r="V100" i="2"/>
  <c r="W22" i="2"/>
  <c r="V22" i="2"/>
  <c r="W94" i="2"/>
  <c r="V94" i="2"/>
  <c r="W13" i="2"/>
  <c r="G11" i="30" s="1"/>
  <c r="V13" i="2"/>
  <c r="W8" i="2"/>
  <c r="V8" i="2"/>
  <c r="W90" i="2"/>
  <c r="V90" i="2"/>
  <c r="V34" i="2"/>
  <c r="V27" i="2"/>
  <c r="V102" i="2"/>
  <c r="V96" i="2"/>
  <c r="V17" i="2"/>
  <c r="V15" i="2"/>
  <c r="V10" i="2"/>
  <c r="V4" i="2"/>
  <c r="V137" i="2"/>
  <c r="C20" i="28" l="1"/>
  <c r="C59" i="31"/>
  <c r="C17" i="30"/>
  <c r="C23" i="31"/>
  <c r="E23" i="31"/>
  <c r="F23" i="31" s="1"/>
  <c r="D23" i="27"/>
  <c r="D23" i="31" s="1"/>
  <c r="D11" i="1"/>
  <c r="B11" i="28"/>
  <c r="B71" i="31"/>
  <c r="G71" i="31" s="1"/>
  <c r="H13" i="28"/>
  <c r="B68" i="31"/>
  <c r="C68" i="31" s="1"/>
  <c r="J59" i="31"/>
  <c r="E116" i="31"/>
  <c r="F116" i="31" s="1"/>
  <c r="H13" i="30"/>
  <c r="C18" i="28"/>
  <c r="B16" i="31"/>
  <c r="H16" i="31" s="1"/>
  <c r="H59" i="31"/>
  <c r="J73" i="31"/>
  <c r="D10" i="1"/>
  <c r="C21" i="28"/>
  <c r="E18" i="31"/>
  <c r="F18" i="31" s="1"/>
  <c r="J89" i="31"/>
  <c r="D59" i="27"/>
  <c r="D59" i="31" s="1"/>
  <c r="E17" i="31"/>
  <c r="F17" i="31" s="1"/>
  <c r="B10" i="28"/>
  <c r="H24" i="31"/>
  <c r="D104" i="31"/>
  <c r="I75" i="31"/>
  <c r="I24" i="31"/>
  <c r="H18" i="31"/>
  <c r="C18" i="31"/>
  <c r="J17" i="31"/>
  <c r="I59" i="31"/>
  <c r="H12" i="30"/>
  <c r="H12" i="28"/>
  <c r="J13" i="1"/>
  <c r="O13" i="1" s="1"/>
  <c r="I13" i="28" s="1"/>
  <c r="J11" i="1"/>
  <c r="O11" i="1" s="1"/>
  <c r="I11" i="28" s="1"/>
  <c r="J14" i="1"/>
  <c r="I17" i="31"/>
  <c r="I73" i="31"/>
  <c r="H17" i="31"/>
  <c r="G79" i="31"/>
  <c r="C73" i="31"/>
  <c r="Q13" i="1"/>
  <c r="R13" i="1" s="1"/>
  <c r="S13" i="1" s="1"/>
  <c r="D17" i="27"/>
  <c r="D17" i="31" s="1"/>
  <c r="I20" i="31"/>
  <c r="J97" i="31"/>
  <c r="D79" i="27"/>
  <c r="D79" i="31" s="1"/>
  <c r="G75" i="31"/>
  <c r="E104" i="31"/>
  <c r="F104" i="31" s="1"/>
  <c r="C75" i="31"/>
  <c r="H73" i="31"/>
  <c r="H89" i="31"/>
  <c r="G73" i="31"/>
  <c r="Q12" i="1"/>
  <c r="R12" i="1" s="1"/>
  <c r="S12" i="1" s="1"/>
  <c r="E20" i="31"/>
  <c r="F20" i="31" s="1"/>
  <c r="D73" i="27"/>
  <c r="D73" i="31" s="1"/>
  <c r="D89" i="27"/>
  <c r="D89" i="31" s="1"/>
  <c r="E89" i="31"/>
  <c r="F89" i="31" s="1"/>
  <c r="E75" i="31"/>
  <c r="F75" i="31" s="1"/>
  <c r="C20" i="31"/>
  <c r="I118" i="31"/>
  <c r="D122" i="31"/>
  <c r="Q11" i="1"/>
  <c r="R11" i="1" s="1"/>
  <c r="S11" i="1" s="1"/>
  <c r="J20" i="31"/>
  <c r="B14" i="31"/>
  <c r="J14" i="31" s="1"/>
  <c r="H20" i="31"/>
  <c r="H11" i="30"/>
  <c r="J18" i="31"/>
  <c r="J75" i="31"/>
  <c r="J104" i="31"/>
  <c r="D96" i="27"/>
  <c r="D96" i="31" s="1"/>
  <c r="H74" i="31"/>
  <c r="I104" i="31"/>
  <c r="E74" i="31"/>
  <c r="F74" i="31" s="1"/>
  <c r="J79" i="31"/>
  <c r="C118" i="31"/>
  <c r="D20" i="27"/>
  <c r="D20" i="31" s="1"/>
  <c r="J74" i="31"/>
  <c r="C106" i="31"/>
  <c r="H11" i="28"/>
  <c r="C24" i="31"/>
  <c r="B21" i="31"/>
  <c r="I21" i="31" s="1"/>
  <c r="J12" i="1"/>
  <c r="O12" i="1" s="1"/>
  <c r="I12" i="28" s="1"/>
  <c r="G116" i="31"/>
  <c r="C104" i="31"/>
  <c r="E79" i="31"/>
  <c r="F79" i="31" s="1"/>
  <c r="B85" i="31"/>
  <c r="G85" i="31" s="1"/>
  <c r="H97" i="31"/>
  <c r="G97" i="31"/>
  <c r="G106" i="31"/>
  <c r="I116" i="31"/>
  <c r="E71" i="31"/>
  <c r="F71" i="31" s="1"/>
  <c r="I106" i="31"/>
  <c r="C89" i="31"/>
  <c r="J12" i="30"/>
  <c r="H101" i="31"/>
  <c r="H18" i="28"/>
  <c r="N18" i="1"/>
  <c r="O23" i="1"/>
  <c r="I23" i="28" s="1"/>
  <c r="H19" i="28"/>
  <c r="N19" i="1"/>
  <c r="I19" i="30" s="1"/>
  <c r="J19" i="30" s="1"/>
  <c r="H22" i="28"/>
  <c r="N22" i="1"/>
  <c r="I22" i="30" s="1"/>
  <c r="J22" i="30" s="1"/>
  <c r="H20" i="28"/>
  <c r="N20" i="1"/>
  <c r="I20" i="30" s="1"/>
  <c r="J20" i="30" s="1"/>
  <c r="H16" i="28"/>
  <c r="N16" i="1"/>
  <c r="I16" i="30" s="1"/>
  <c r="J16" i="30" s="1"/>
  <c r="O17" i="1"/>
  <c r="I17" i="28" s="1"/>
  <c r="H21" i="28"/>
  <c r="N21" i="1"/>
  <c r="H15" i="28"/>
  <c r="N15" i="1"/>
  <c r="I15" i="30" s="1"/>
  <c r="J15" i="30" s="1"/>
  <c r="H17" i="28"/>
  <c r="N17" i="1"/>
  <c r="I17" i="30" s="1"/>
  <c r="J17" i="30" s="1"/>
  <c r="H24" i="28"/>
  <c r="N24" i="1"/>
  <c r="H21" i="30"/>
  <c r="O20" i="1"/>
  <c r="I20" i="28" s="1"/>
  <c r="O16" i="1"/>
  <c r="I16" i="28" s="1"/>
  <c r="C23" i="30"/>
  <c r="H19" i="30"/>
  <c r="G118" i="31"/>
  <c r="E118" i="31"/>
  <c r="F118" i="31" s="1"/>
  <c r="J92" i="31"/>
  <c r="D111" i="31"/>
  <c r="C111" i="31"/>
  <c r="J118" i="31"/>
  <c r="J123" i="31"/>
  <c r="I119" i="31"/>
  <c r="C116" i="31"/>
  <c r="C102" i="31"/>
  <c r="I71" i="31"/>
  <c r="J122" i="31"/>
  <c r="D71" i="31"/>
  <c r="H71" i="31"/>
  <c r="G110" i="31"/>
  <c r="G104" i="31"/>
  <c r="I112" i="31"/>
  <c r="G112" i="31"/>
  <c r="E112" i="31"/>
  <c r="F112" i="31" s="1"/>
  <c r="I107" i="31"/>
  <c r="D118" i="31"/>
  <c r="D116" i="31"/>
  <c r="J98" i="31"/>
  <c r="J71" i="31"/>
  <c r="I122" i="31"/>
  <c r="C112" i="31"/>
  <c r="D112" i="31"/>
  <c r="J112" i="31"/>
  <c r="E122" i="31"/>
  <c r="F122" i="31" s="1"/>
  <c r="I110" i="31"/>
  <c r="H117" i="31"/>
  <c r="C110" i="31"/>
  <c r="I65" i="31"/>
  <c r="C65" i="31"/>
  <c r="G65" i="31"/>
  <c r="H68" i="31"/>
  <c r="J117" i="31"/>
  <c r="D65" i="31"/>
  <c r="I68" i="31"/>
  <c r="J65" i="31"/>
  <c r="E110" i="31"/>
  <c r="F110" i="31" s="1"/>
  <c r="H92" i="31"/>
  <c r="D123" i="31"/>
  <c r="D105" i="31"/>
  <c r="C123" i="31"/>
  <c r="D110" i="31"/>
  <c r="J110" i="31"/>
  <c r="D92" i="31"/>
  <c r="G122" i="31"/>
  <c r="J111" i="31"/>
  <c r="C122" i="31"/>
  <c r="E106" i="31"/>
  <c r="F106" i="31" s="1"/>
  <c r="D106" i="31"/>
  <c r="J106" i="31"/>
  <c r="J105" i="31"/>
  <c r="I117" i="31"/>
  <c r="I108" i="31"/>
  <c r="E65" i="31"/>
  <c r="F65" i="31" s="1"/>
  <c r="J116" i="31"/>
  <c r="C109" i="31"/>
  <c r="I98" i="31"/>
  <c r="C98" i="31"/>
  <c r="D98" i="31"/>
  <c r="D117" i="31"/>
  <c r="C121" i="31"/>
  <c r="I105" i="31"/>
  <c r="H105" i="31"/>
  <c r="G98" i="31"/>
  <c r="E98" i="31"/>
  <c r="F98" i="31" s="1"/>
  <c r="G114" i="31"/>
  <c r="I123" i="31"/>
  <c r="I111" i="31"/>
  <c r="J115" i="31"/>
  <c r="G108" i="31"/>
  <c r="J103" i="31"/>
  <c r="H113" i="31"/>
  <c r="J121" i="31"/>
  <c r="J113" i="31"/>
  <c r="J101" i="31"/>
  <c r="I113" i="31"/>
  <c r="I101" i="31"/>
  <c r="E119" i="31"/>
  <c r="F119" i="31" s="1"/>
  <c r="G119" i="31"/>
  <c r="E107" i="31"/>
  <c r="F107" i="31" s="1"/>
  <c r="G107" i="31"/>
  <c r="H114" i="31"/>
  <c r="E114" i="31"/>
  <c r="F114" i="31" s="1"/>
  <c r="D114" i="31"/>
  <c r="J114" i="31"/>
  <c r="D66" i="27"/>
  <c r="B66" i="31"/>
  <c r="D86" i="27"/>
  <c r="B86" i="31"/>
  <c r="D121" i="31"/>
  <c r="D113" i="31"/>
  <c r="D109" i="31"/>
  <c r="D101" i="31"/>
  <c r="C119" i="31"/>
  <c r="C107" i="31"/>
  <c r="E117" i="31"/>
  <c r="F117" i="31" s="1"/>
  <c r="G117" i="31"/>
  <c r="E105" i="31"/>
  <c r="F105" i="31" s="1"/>
  <c r="G105" i="31"/>
  <c r="H108" i="31"/>
  <c r="E108" i="31"/>
  <c r="F108" i="31" s="1"/>
  <c r="D108" i="31"/>
  <c r="J108" i="31"/>
  <c r="D70" i="27"/>
  <c r="B70" i="31"/>
  <c r="E121" i="31"/>
  <c r="F121" i="31" s="1"/>
  <c r="G121" i="31"/>
  <c r="E109" i="31"/>
  <c r="F109" i="31" s="1"/>
  <c r="G109" i="31"/>
  <c r="C85" i="31"/>
  <c r="H120" i="31"/>
  <c r="E120" i="31"/>
  <c r="F120" i="31" s="1"/>
  <c r="D120" i="31"/>
  <c r="J120" i="31"/>
  <c r="D72" i="27"/>
  <c r="B72" i="31"/>
  <c r="D84" i="27"/>
  <c r="B84" i="31"/>
  <c r="J109" i="31"/>
  <c r="G120" i="31"/>
  <c r="H119" i="31"/>
  <c r="H107" i="31"/>
  <c r="E115" i="31"/>
  <c r="F115" i="31" s="1"/>
  <c r="G115" i="31"/>
  <c r="E103" i="31"/>
  <c r="F103" i="31" s="1"/>
  <c r="G103" i="31"/>
  <c r="E92" i="31"/>
  <c r="F92" i="31" s="1"/>
  <c r="G92" i="31"/>
  <c r="H102" i="31"/>
  <c r="E102" i="31"/>
  <c r="F102" i="31" s="1"/>
  <c r="D102" i="31"/>
  <c r="J102" i="31"/>
  <c r="D87" i="27"/>
  <c r="B87" i="31"/>
  <c r="D67" i="27"/>
  <c r="B67" i="31"/>
  <c r="E113" i="31"/>
  <c r="F113" i="31" s="1"/>
  <c r="G113" i="31"/>
  <c r="E101" i="31"/>
  <c r="F101" i="31" s="1"/>
  <c r="G101" i="31"/>
  <c r="H91" i="31"/>
  <c r="D91" i="31"/>
  <c r="C91" i="31"/>
  <c r="I91" i="31"/>
  <c r="J91" i="31"/>
  <c r="E91" i="31"/>
  <c r="F91" i="31" s="1"/>
  <c r="D77" i="27"/>
  <c r="B77" i="31"/>
  <c r="D83" i="27"/>
  <c r="B83" i="31"/>
  <c r="I92" i="31"/>
  <c r="D119" i="31"/>
  <c r="D115" i="31"/>
  <c r="D107" i="31"/>
  <c r="D103" i="31"/>
  <c r="I121" i="31"/>
  <c r="I115" i="31"/>
  <c r="I109" i="31"/>
  <c r="I103" i="31"/>
  <c r="H115" i="31"/>
  <c r="H103" i="31"/>
  <c r="I120" i="31"/>
  <c r="I114" i="31"/>
  <c r="I102" i="31"/>
  <c r="E123" i="31"/>
  <c r="F123" i="31" s="1"/>
  <c r="G123" i="31"/>
  <c r="E111" i="31"/>
  <c r="F111" i="31" s="1"/>
  <c r="G111" i="31"/>
  <c r="D57" i="27"/>
  <c r="D57" i="31" s="1"/>
  <c r="B35" i="31"/>
  <c r="E35" i="31" s="1"/>
  <c r="F35" i="31" s="1"/>
  <c r="T11" i="27"/>
  <c r="T10" i="27" s="1"/>
  <c r="B10" i="31"/>
  <c r="C10" i="31" s="1"/>
  <c r="B14" i="28"/>
  <c r="D14" i="1"/>
  <c r="C14" i="30" s="1"/>
  <c r="B12" i="31"/>
  <c r="G12" i="31" s="1"/>
  <c r="B43" i="31"/>
  <c r="H43" i="31" s="1"/>
  <c r="J93" i="27"/>
  <c r="J62" i="27"/>
  <c r="D11" i="27"/>
  <c r="D11" i="31" s="1"/>
  <c r="I13" i="31"/>
  <c r="D51" i="31"/>
  <c r="H15" i="31"/>
  <c r="H58" i="31"/>
  <c r="H51" i="31"/>
  <c r="D16" i="31"/>
  <c r="G58" i="31"/>
  <c r="D15" i="31"/>
  <c r="D58" i="27"/>
  <c r="D58" i="31" s="1"/>
  <c r="B13" i="28"/>
  <c r="G16" i="31"/>
  <c r="J58" i="31"/>
  <c r="E58" i="31"/>
  <c r="F58" i="31" s="1"/>
  <c r="I58" i="31"/>
  <c r="D60" i="27"/>
  <c r="D60" i="31" s="1"/>
  <c r="D13" i="1"/>
  <c r="C13" i="30" s="1"/>
  <c r="D61" i="27"/>
  <c r="D61" i="31" s="1"/>
  <c r="G57" i="31"/>
  <c r="C57" i="31"/>
  <c r="E57" i="31"/>
  <c r="F57" i="31" s="1"/>
  <c r="H57" i="31"/>
  <c r="I57" i="31"/>
  <c r="J57" i="31"/>
  <c r="D27" i="27"/>
  <c r="B27" i="31"/>
  <c r="C11" i="31"/>
  <c r="G11" i="31"/>
  <c r="I11" i="31"/>
  <c r="J11" i="31"/>
  <c r="D46" i="27"/>
  <c r="B46" i="31"/>
  <c r="D25" i="27"/>
  <c r="B25" i="31"/>
  <c r="D48" i="27"/>
  <c r="B48" i="31"/>
  <c r="C51" i="31"/>
  <c r="G51" i="31"/>
  <c r="I51" i="31"/>
  <c r="J51" i="31"/>
  <c r="D41" i="27"/>
  <c r="B41" i="31"/>
  <c r="D56" i="27"/>
  <c r="B56" i="31"/>
  <c r="D29" i="27"/>
  <c r="B29" i="31"/>
  <c r="H11" i="31"/>
  <c r="D36" i="27"/>
  <c r="B36" i="31"/>
  <c r="D47" i="27"/>
  <c r="B47" i="31"/>
  <c r="C61" i="31"/>
  <c r="I61" i="31"/>
  <c r="J61" i="31"/>
  <c r="E61" i="31"/>
  <c r="F61" i="31" s="1"/>
  <c r="G61" i="31"/>
  <c r="H61" i="31"/>
  <c r="D42" i="27"/>
  <c r="B42" i="31"/>
  <c r="H13" i="31"/>
  <c r="J13" i="31"/>
  <c r="D13" i="31"/>
  <c r="E13" i="31"/>
  <c r="F13" i="31" s="1"/>
  <c r="G13" i="31"/>
  <c r="J21" i="31"/>
  <c r="E16" i="31"/>
  <c r="F16" i="31" s="1"/>
  <c r="J16" i="31"/>
  <c r="D37" i="27"/>
  <c r="B37" i="31"/>
  <c r="D44" i="27"/>
  <c r="B44" i="31"/>
  <c r="D50" i="27"/>
  <c r="B50" i="31"/>
  <c r="J10" i="30"/>
  <c r="E11" i="31"/>
  <c r="F11" i="31" s="1"/>
  <c r="D38" i="27"/>
  <c r="B38" i="31"/>
  <c r="D53" i="27"/>
  <c r="B53" i="31"/>
  <c r="D40" i="27"/>
  <c r="B40" i="31"/>
  <c r="D49" i="27"/>
  <c r="B49" i="31"/>
  <c r="D34" i="27"/>
  <c r="B34" i="31"/>
  <c r="G14" i="31"/>
  <c r="H14" i="31"/>
  <c r="I14" i="31"/>
  <c r="D52" i="27"/>
  <c r="B52" i="31"/>
  <c r="D54" i="27"/>
  <c r="B54" i="31"/>
  <c r="D55" i="27"/>
  <c r="B55" i="31"/>
  <c r="I16" i="31"/>
  <c r="C16" i="31"/>
  <c r="D26" i="27"/>
  <c r="B26" i="31"/>
  <c r="D39" i="27"/>
  <c r="B39" i="31"/>
  <c r="D45" i="27"/>
  <c r="B45" i="31"/>
  <c r="C60" i="31"/>
  <c r="H60" i="31"/>
  <c r="I60" i="31"/>
  <c r="J60" i="31"/>
  <c r="E60" i="31"/>
  <c r="F60" i="31" s="1"/>
  <c r="D28" i="27"/>
  <c r="B28" i="31"/>
  <c r="G15" i="31"/>
  <c r="C15" i="31"/>
  <c r="E15" i="31"/>
  <c r="F15" i="31" s="1"/>
  <c r="J15" i="31"/>
  <c r="J30" i="27"/>
  <c r="J13" i="30"/>
  <c r="J11" i="30"/>
  <c r="C12" i="30"/>
  <c r="C12" i="28"/>
  <c r="C11" i="28"/>
  <c r="C11" i="30"/>
  <c r="N14" i="1"/>
  <c r="H14" i="28"/>
  <c r="H14" i="30"/>
  <c r="C10" i="28"/>
  <c r="C10" i="30"/>
  <c r="N10" i="1"/>
  <c r="Q10" i="1" s="1"/>
  <c r="H10" i="28"/>
  <c r="H21" i="31" l="1"/>
  <c r="E21" i="31"/>
  <c r="F21" i="31" s="1"/>
  <c r="G68" i="31"/>
  <c r="G21" i="31"/>
  <c r="E68" i="31"/>
  <c r="F68" i="31" s="1"/>
  <c r="J68" i="31"/>
  <c r="C21" i="31"/>
  <c r="D68" i="31"/>
  <c r="D21" i="31"/>
  <c r="C71" i="31"/>
  <c r="C14" i="31"/>
  <c r="D14" i="31"/>
  <c r="E14" i="31"/>
  <c r="F14" i="31" s="1"/>
  <c r="E85" i="31"/>
  <c r="F85" i="31" s="1"/>
  <c r="J85" i="31"/>
  <c r="I85" i="31"/>
  <c r="D85" i="31"/>
  <c r="H85" i="31"/>
  <c r="O10" i="1"/>
  <c r="I10" i="28" s="1"/>
  <c r="I18" i="30"/>
  <c r="J18" i="30" s="1"/>
  <c r="O18" i="1"/>
  <c r="I18" i="28" s="1"/>
  <c r="O22" i="1"/>
  <c r="I22" i="28" s="1"/>
  <c r="O19" i="1"/>
  <c r="I19" i="28" s="1"/>
  <c r="O15" i="1"/>
  <c r="I15" i="28" s="1"/>
  <c r="I24" i="30"/>
  <c r="J24" i="30" s="1"/>
  <c r="O24" i="1"/>
  <c r="I24" i="28" s="1"/>
  <c r="I21" i="30"/>
  <c r="J21" i="30" s="1"/>
  <c r="O21" i="1"/>
  <c r="I21" i="28" s="1"/>
  <c r="H10" i="31"/>
  <c r="J10" i="31"/>
  <c r="J35" i="31"/>
  <c r="H87" i="31"/>
  <c r="E87" i="31"/>
  <c r="F87" i="31" s="1"/>
  <c r="J87" i="31"/>
  <c r="D87" i="31"/>
  <c r="I87" i="31"/>
  <c r="C87" i="31"/>
  <c r="G87" i="31"/>
  <c r="E72" i="31"/>
  <c r="F72" i="31" s="1"/>
  <c r="G72" i="31"/>
  <c r="H72" i="31"/>
  <c r="I72" i="31"/>
  <c r="C72" i="31"/>
  <c r="D72" i="31"/>
  <c r="J72" i="31"/>
  <c r="E66" i="31"/>
  <c r="F66" i="31" s="1"/>
  <c r="G66" i="31"/>
  <c r="D66" i="31"/>
  <c r="J66" i="31"/>
  <c r="H66" i="31"/>
  <c r="C66" i="31"/>
  <c r="I66" i="31"/>
  <c r="E84" i="31"/>
  <c r="F84" i="31" s="1"/>
  <c r="G84" i="31"/>
  <c r="I84" i="31"/>
  <c r="H84" i="31"/>
  <c r="J84" i="31"/>
  <c r="C84" i="31"/>
  <c r="D84" i="31"/>
  <c r="G35" i="31"/>
  <c r="H83" i="31"/>
  <c r="I83" i="31"/>
  <c r="E83" i="31"/>
  <c r="F83" i="31" s="1"/>
  <c r="D83" i="31"/>
  <c r="C83" i="31"/>
  <c r="J83" i="31"/>
  <c r="G83" i="31"/>
  <c r="E86" i="31"/>
  <c r="F86" i="31" s="1"/>
  <c r="G86" i="31"/>
  <c r="I86" i="31"/>
  <c r="D86" i="31"/>
  <c r="H86" i="31"/>
  <c r="J86" i="31"/>
  <c r="C86" i="31"/>
  <c r="E70" i="31"/>
  <c r="F70" i="31" s="1"/>
  <c r="G70" i="31"/>
  <c r="D70" i="31"/>
  <c r="C70" i="31"/>
  <c r="H70" i="31"/>
  <c r="J70" i="31"/>
  <c r="I70" i="31"/>
  <c r="H35" i="31"/>
  <c r="D35" i="31"/>
  <c r="H77" i="31"/>
  <c r="I77" i="31"/>
  <c r="E77" i="31"/>
  <c r="F77" i="31" s="1"/>
  <c r="D77" i="31"/>
  <c r="C77" i="31"/>
  <c r="J77" i="31"/>
  <c r="G77" i="31"/>
  <c r="H67" i="31"/>
  <c r="D67" i="31"/>
  <c r="C67" i="31"/>
  <c r="J67" i="31"/>
  <c r="E67" i="31"/>
  <c r="F67" i="31" s="1"/>
  <c r="I67" i="31"/>
  <c r="G67" i="31"/>
  <c r="I10" i="31"/>
  <c r="I35" i="31"/>
  <c r="C35" i="31"/>
  <c r="E10" i="31"/>
  <c r="F10" i="31" s="1"/>
  <c r="G10" i="31"/>
  <c r="D10" i="31"/>
  <c r="H12" i="31"/>
  <c r="D12" i="31"/>
  <c r="E12" i="31"/>
  <c r="F12" i="31" s="1"/>
  <c r="J12" i="31"/>
  <c r="I12" i="31"/>
  <c r="J43" i="31"/>
  <c r="C12" i="31"/>
  <c r="I43" i="31"/>
  <c r="C14" i="28"/>
  <c r="G43" i="31"/>
  <c r="D43" i="31"/>
  <c r="J124" i="27"/>
  <c r="C43" i="31"/>
  <c r="E43" i="31"/>
  <c r="F43" i="31" s="1"/>
  <c r="C13" i="28"/>
  <c r="D28" i="31"/>
  <c r="E28" i="31"/>
  <c r="F28" i="31" s="1"/>
  <c r="H28" i="31"/>
  <c r="I28" i="31"/>
  <c r="J28" i="31"/>
  <c r="C28" i="31"/>
  <c r="G28" i="31"/>
  <c r="C38" i="31"/>
  <c r="D38" i="31"/>
  <c r="G38" i="31"/>
  <c r="H38" i="31"/>
  <c r="I38" i="31"/>
  <c r="J38" i="31"/>
  <c r="E38" i="31"/>
  <c r="F38" i="31" s="1"/>
  <c r="E48" i="31"/>
  <c r="F48" i="31" s="1"/>
  <c r="D48" i="31"/>
  <c r="H48" i="31"/>
  <c r="I48" i="31"/>
  <c r="G48" i="31"/>
  <c r="J48" i="31"/>
  <c r="C48" i="31"/>
  <c r="E54" i="31"/>
  <c r="F54" i="31" s="1"/>
  <c r="I54" i="31"/>
  <c r="J54" i="31"/>
  <c r="C54" i="31"/>
  <c r="D54" i="31"/>
  <c r="G54" i="31"/>
  <c r="H54" i="31"/>
  <c r="C41" i="31"/>
  <c r="D41" i="31"/>
  <c r="E41" i="31"/>
  <c r="F41" i="31" s="1"/>
  <c r="G41" i="31"/>
  <c r="H41" i="31"/>
  <c r="I41" i="31"/>
  <c r="J41" i="31"/>
  <c r="G25" i="31"/>
  <c r="C25" i="31"/>
  <c r="D25" i="31"/>
  <c r="E25" i="31"/>
  <c r="F25" i="31" s="1"/>
  <c r="H25" i="31"/>
  <c r="I25" i="31"/>
  <c r="J25" i="31"/>
  <c r="G55" i="31"/>
  <c r="C55" i="31"/>
  <c r="E55" i="31"/>
  <c r="F55" i="31" s="1"/>
  <c r="J55" i="31"/>
  <c r="H55" i="31"/>
  <c r="D55" i="31"/>
  <c r="I55" i="31"/>
  <c r="C36" i="31"/>
  <c r="I36" i="31"/>
  <c r="J36" i="31"/>
  <c r="H36" i="31"/>
  <c r="E36" i="31"/>
  <c r="F36" i="31" s="1"/>
  <c r="G36" i="31"/>
  <c r="D36" i="31"/>
  <c r="C26" i="31"/>
  <c r="J26" i="31"/>
  <c r="I26" i="31"/>
  <c r="D26" i="31"/>
  <c r="E26" i="31"/>
  <c r="F26" i="31" s="1"/>
  <c r="G26" i="31"/>
  <c r="H26" i="31"/>
  <c r="G49" i="31"/>
  <c r="H49" i="31"/>
  <c r="I49" i="31"/>
  <c r="J49" i="31"/>
  <c r="C49" i="31"/>
  <c r="D49" i="31"/>
  <c r="E49" i="31"/>
  <c r="F49" i="31" s="1"/>
  <c r="C27" i="31"/>
  <c r="D27" i="31"/>
  <c r="G27" i="31"/>
  <c r="I27" i="31"/>
  <c r="J27" i="31"/>
  <c r="H27" i="31"/>
  <c r="E27" i="31"/>
  <c r="F27" i="31" s="1"/>
  <c r="C37" i="31"/>
  <c r="E37" i="31"/>
  <c r="F37" i="31" s="1"/>
  <c r="G37" i="31"/>
  <c r="H37" i="31"/>
  <c r="I37" i="31"/>
  <c r="J37" i="31"/>
  <c r="D37" i="31"/>
  <c r="J34" i="31"/>
  <c r="I34" i="31"/>
  <c r="H34" i="31"/>
  <c r="G34" i="31"/>
  <c r="E34" i="31"/>
  <c r="F34" i="31" s="1"/>
  <c r="D34" i="31"/>
  <c r="C34" i="31"/>
  <c r="C52" i="31"/>
  <c r="H52" i="31"/>
  <c r="I52" i="31"/>
  <c r="J52" i="31"/>
  <c r="E52" i="31"/>
  <c r="F52" i="31" s="1"/>
  <c r="G52" i="31"/>
  <c r="D52" i="31"/>
  <c r="E40" i="31"/>
  <c r="F40" i="31" s="1"/>
  <c r="D40" i="31"/>
  <c r="G40" i="31"/>
  <c r="C40" i="31"/>
  <c r="I40" i="31"/>
  <c r="J40" i="31"/>
  <c r="H40" i="31"/>
  <c r="C50" i="31"/>
  <c r="G50" i="31"/>
  <c r="J50" i="31"/>
  <c r="H50" i="31"/>
  <c r="E50" i="31"/>
  <c r="F50" i="31" s="1"/>
  <c r="D50" i="31"/>
  <c r="I50" i="31"/>
  <c r="H29" i="31"/>
  <c r="G29" i="31"/>
  <c r="J29" i="31"/>
  <c r="D29" i="31"/>
  <c r="E29" i="31"/>
  <c r="F29" i="31" s="1"/>
  <c r="C29" i="31"/>
  <c r="I29" i="31"/>
  <c r="C46" i="31"/>
  <c r="D46" i="31"/>
  <c r="G46" i="31"/>
  <c r="H46" i="31"/>
  <c r="I46" i="31"/>
  <c r="J46" i="31"/>
  <c r="E46" i="31"/>
  <c r="F46" i="31" s="1"/>
  <c r="D39" i="31"/>
  <c r="E39" i="31"/>
  <c r="F39" i="31" s="1"/>
  <c r="G39" i="31"/>
  <c r="H39" i="31"/>
  <c r="I39" i="31"/>
  <c r="J39" i="31"/>
  <c r="C39" i="31"/>
  <c r="C53" i="31"/>
  <c r="H53" i="31"/>
  <c r="I53" i="31"/>
  <c r="J53" i="31"/>
  <c r="D53" i="31"/>
  <c r="E53" i="31"/>
  <c r="F53" i="31" s="1"/>
  <c r="G53" i="31"/>
  <c r="C44" i="31"/>
  <c r="J44" i="31"/>
  <c r="H44" i="31"/>
  <c r="I44" i="31"/>
  <c r="G44" i="31"/>
  <c r="D44" i="31"/>
  <c r="E44" i="31"/>
  <c r="F44" i="31" s="1"/>
  <c r="C42" i="31"/>
  <c r="J42" i="31"/>
  <c r="H42" i="31"/>
  <c r="D42" i="31"/>
  <c r="G42" i="31"/>
  <c r="E42" i="31"/>
  <c r="F42" i="31" s="1"/>
  <c r="I42" i="31"/>
  <c r="C45" i="31"/>
  <c r="E45" i="31"/>
  <c r="F45" i="31" s="1"/>
  <c r="G45" i="31"/>
  <c r="H45" i="31"/>
  <c r="I45" i="31"/>
  <c r="J45" i="31"/>
  <c r="D45" i="31"/>
  <c r="H47" i="31"/>
  <c r="G47" i="31"/>
  <c r="J47" i="31"/>
  <c r="C47" i="31"/>
  <c r="E47" i="31"/>
  <c r="F47" i="31" s="1"/>
  <c r="D47" i="31"/>
  <c r="I47" i="31"/>
  <c r="E56" i="31"/>
  <c r="F56" i="31" s="1"/>
  <c r="J56" i="31"/>
  <c r="D56" i="31"/>
  <c r="G56" i="31"/>
  <c r="C56" i="31"/>
  <c r="I56" i="31"/>
  <c r="H56" i="31"/>
  <c r="I14" i="30"/>
  <c r="J14" i="30" s="1"/>
  <c r="Q14" i="1"/>
  <c r="R14" i="1" s="1"/>
  <c r="S14" i="1" s="1"/>
  <c r="O14" i="1"/>
  <c r="I14" i="28" s="1"/>
  <c r="J25" i="30" l="1"/>
  <c r="J26" i="30" s="1"/>
  <c r="J27" i="30" s="1"/>
  <c r="J62" i="31"/>
  <c r="J93" i="31"/>
  <c r="J30" i="31"/>
  <c r="Q25" i="1"/>
  <c r="R10" i="1"/>
  <c r="R25" i="1" s="1"/>
  <c r="I25" i="28"/>
  <c r="I26" i="28" s="1"/>
  <c r="I27" i="28" s="1"/>
  <c r="O25" i="1"/>
  <c r="O26" i="1" s="1"/>
  <c r="O27" i="1" s="1"/>
  <c r="J124" i="31" l="1"/>
  <c r="S10" i="1"/>
  <c r="S25" i="1" s="1"/>
</calcChain>
</file>

<file path=xl/sharedStrings.xml><?xml version="1.0" encoding="utf-8"?>
<sst xmlns="http://schemas.openxmlformats.org/spreadsheetml/2006/main" count="1982" uniqueCount="352">
  <si>
    <t>Dto(%)</t>
  </si>
  <si>
    <t>Cantidad</t>
  </si>
  <si>
    <t>Total</t>
  </si>
  <si>
    <t>WEPP</t>
  </si>
  <si>
    <t>Descripción</t>
  </si>
  <si>
    <t>proveedor</t>
  </si>
  <si>
    <t>referencia</t>
  </si>
  <si>
    <t>unidades caja</t>
  </si>
  <si>
    <t>unidad</t>
  </si>
  <si>
    <t>COSTO</t>
  </si>
  <si>
    <t>PRECIO TALLER</t>
  </si>
  <si>
    <t>PRECIO CLIENTE</t>
  </si>
  <si>
    <t>AUXILIAR COSTO+TRANSPORTE</t>
  </si>
  <si>
    <t>TRANSPORTE</t>
  </si>
  <si>
    <t>COSTO REAL</t>
  </si>
  <si>
    <t>PRECIO TALLER +10</t>
  </si>
  <si>
    <t>EMBALAJE</t>
  </si>
  <si>
    <t>MANIPULACIÓN</t>
  </si>
  <si>
    <t>caja</t>
  </si>
  <si>
    <t>2010-300</t>
  </si>
  <si>
    <t>2010 SF</t>
  </si>
  <si>
    <t>Motor System Reiniger</t>
  </si>
  <si>
    <t>Palet</t>
  </si>
  <si>
    <t>Volumen (L)</t>
  </si>
  <si>
    <t>PESO (Kg)</t>
  </si>
  <si>
    <t>PESO CAJA (Kg)</t>
  </si>
  <si>
    <t>Motor Intensiv Reiniger</t>
  </si>
  <si>
    <t>Precio Pedido</t>
  </si>
  <si>
    <t>Ölstopp Additiv</t>
  </si>
  <si>
    <t>Motor Verschleiss Schutz</t>
  </si>
  <si>
    <t>Getriebeöladditiv</t>
  </si>
  <si>
    <t>ATF Cleaner</t>
  </si>
  <si>
    <t>ATF Protection</t>
  </si>
  <si>
    <t>Power Steering Cleaner</t>
  </si>
  <si>
    <t>Power Steering Protection</t>
  </si>
  <si>
    <t>Leak detector spray liquids</t>
  </si>
  <si>
    <t>Kühler System Schutz</t>
  </si>
  <si>
    <t>Kühlerdicht</t>
  </si>
  <si>
    <t>Kühlerreinigung</t>
  </si>
  <si>
    <t>Intercooler Cleaner</t>
  </si>
  <si>
    <t>Desinfektions Pistole</t>
  </si>
  <si>
    <t>Scheibenfrostschutz</t>
  </si>
  <si>
    <t>Klimafresh</t>
  </si>
  <si>
    <t>?</t>
  </si>
  <si>
    <t>Airfresh</t>
  </si>
  <si>
    <t>Thermoschutz</t>
  </si>
  <si>
    <t>Luftkanalreiniger</t>
  </si>
  <si>
    <t>Pollenfilterkanal Reiniger</t>
  </si>
  <si>
    <t>1996-45</t>
  </si>
  <si>
    <t>1996-60</t>
  </si>
  <si>
    <t>60 cm Rohr für Desinfektionspistole</t>
  </si>
  <si>
    <t>40 cm Rohr für Desinfektionspistole</t>
  </si>
  <si>
    <t>AC Aerosol Adapter</t>
  </si>
  <si>
    <t>Leckstopp und Indikator</t>
  </si>
  <si>
    <t>Pedido caja</t>
  </si>
  <si>
    <t>Pedido unidad</t>
  </si>
  <si>
    <t>Leckstopp komplett</t>
  </si>
  <si>
    <t>POE 68</t>
  </si>
  <si>
    <t>POE 68 + UV</t>
  </si>
  <si>
    <t>Diesel Intensiv Reiniger</t>
  </si>
  <si>
    <t>Diesel Einlass Reiniger Spray</t>
  </si>
  <si>
    <t>Drosselklappen + Vergaserreiniger</t>
  </si>
  <si>
    <t>2032+</t>
  </si>
  <si>
    <t>Diesel Complete Clean</t>
  </si>
  <si>
    <t>SCR Schutz</t>
  </si>
  <si>
    <t>DPF/ Turbo Cleaner</t>
  </si>
  <si>
    <t>Diesel System Schutz</t>
  </si>
  <si>
    <t>2032-300</t>
  </si>
  <si>
    <t>DPF Direct Cleaner</t>
  </si>
  <si>
    <t>Druckbecherpistole</t>
  </si>
  <si>
    <t>Hohlraumschlauch</t>
  </si>
  <si>
    <t>Ventil Reiniger</t>
  </si>
  <si>
    <t>Injection Cleaner</t>
  </si>
  <si>
    <t>2034-300</t>
  </si>
  <si>
    <t>2011-300</t>
  </si>
  <si>
    <t>relevancia</t>
  </si>
  <si>
    <t>2024-1000</t>
  </si>
  <si>
    <t>Airfresh Mint</t>
  </si>
  <si>
    <t>documento</t>
  </si>
  <si>
    <t>2036+</t>
  </si>
  <si>
    <t>GDI Protection Bezin</t>
  </si>
  <si>
    <t>Active Solvent</t>
  </si>
  <si>
    <t>Bremsen Paste</t>
  </si>
  <si>
    <t>Bremsen System Schuz Spray</t>
  </si>
  <si>
    <t>keramik Paste</t>
  </si>
  <si>
    <t>2555-99</t>
  </si>
  <si>
    <t>Pinsel Ersatz</t>
  </si>
  <si>
    <t>Sicherheitsreiniger</t>
  </si>
  <si>
    <t>Scheibenwischer Konzentrat</t>
  </si>
  <si>
    <t>Haftschmier</t>
  </si>
  <si>
    <t>Fliessfett transparent</t>
  </si>
  <si>
    <t>Wartungs Haftöl</t>
  </si>
  <si>
    <t>Silikon Gleitfett</t>
  </si>
  <si>
    <t>Super Rostlöser Active</t>
  </si>
  <si>
    <t>Haftsynthese</t>
  </si>
  <si>
    <t>2040-500</t>
  </si>
  <si>
    <t>Silikonspray</t>
  </si>
  <si>
    <t>Wartungsspray</t>
  </si>
  <si>
    <t>Innenraumspray</t>
  </si>
  <si>
    <t>Ölspray Mit PTFE</t>
  </si>
  <si>
    <t>Fettspray Mit PTFE</t>
  </si>
  <si>
    <t>Kupferspray</t>
  </si>
  <si>
    <t>Bremsenreiniger Acetonfrei</t>
  </si>
  <si>
    <t>Elektronik Spray</t>
  </si>
  <si>
    <t>Elektronik Reiniger Spray</t>
  </si>
  <si>
    <t>Multi Komplex Reiniger (Scheiben)</t>
  </si>
  <si>
    <t>Motorstarter Spray</t>
  </si>
  <si>
    <t>Batterieschutz Spray</t>
  </si>
  <si>
    <t>Reifenglanz</t>
  </si>
  <si>
    <t>Lecksuch Spray (Luft)</t>
  </si>
  <si>
    <t>Scheibenkleber Economic</t>
  </si>
  <si>
    <t>Pistole Elektrisch</t>
  </si>
  <si>
    <t>Glas und Lack Reiniger</t>
  </si>
  <si>
    <t>Multiaktiv Primer</t>
  </si>
  <si>
    <t>Metallschutz Spray</t>
  </si>
  <si>
    <t>Unterbodenschutz (schwarz matt)</t>
  </si>
  <si>
    <t>Hohlraumversiegelung</t>
  </si>
  <si>
    <t>2 Komponenten Polyurethan Kleber</t>
  </si>
  <si>
    <t>732-400</t>
  </si>
  <si>
    <t>Einspritz System Schutz</t>
  </si>
  <si>
    <t>2036-300</t>
  </si>
  <si>
    <t>LPG System Reiniger</t>
  </si>
  <si>
    <t>2039-150</t>
  </si>
  <si>
    <t>Diesel Flow</t>
  </si>
  <si>
    <t>Bremsen Hi Tec</t>
  </si>
  <si>
    <t>Bremsenpaste mit Keramik</t>
  </si>
  <si>
    <t>Reifenmontage Spray</t>
  </si>
  <si>
    <t>Schnell Dichtung (schwarz)</t>
  </si>
  <si>
    <t>Schnell Dichtung (grau)</t>
  </si>
  <si>
    <t>Scheibenkleber HM/NL</t>
  </si>
  <si>
    <t>Scheibenkleber Set HM/NL</t>
  </si>
  <si>
    <t>LE</t>
  </si>
  <si>
    <t>C</t>
  </si>
  <si>
    <t>Motor System Reiniger (Lösungsmittelfrei)</t>
  </si>
  <si>
    <t>PAG 100</t>
  </si>
  <si>
    <t>AC Kompressor ÖL</t>
  </si>
  <si>
    <t>Kompressor ÖL R1234YF</t>
  </si>
  <si>
    <t>Kompressor Universal ÖL</t>
  </si>
  <si>
    <t>POE 68 ÖL Universal mit UV Indikator</t>
  </si>
  <si>
    <t>Vakuum Pumpen ÖL</t>
  </si>
  <si>
    <t>AC Hybrid Kompressor ÖL</t>
  </si>
  <si>
    <t>Clean o Mat</t>
  </si>
  <si>
    <t>2132-300</t>
  </si>
  <si>
    <t>Injector Löser</t>
  </si>
  <si>
    <t>Hybrid Benzin Additiv</t>
  </si>
  <si>
    <t>Oktan Booster</t>
  </si>
  <si>
    <t>Produkt Korb</t>
  </si>
  <si>
    <t>20648-08</t>
  </si>
  <si>
    <t>Hand Schuhe 8</t>
  </si>
  <si>
    <t>20648-09</t>
  </si>
  <si>
    <t>20648-10</t>
  </si>
  <si>
    <t>Hand Schuhe 9</t>
  </si>
  <si>
    <t>Hand Schuhe 10</t>
  </si>
  <si>
    <t>Weisses Wartungsfett</t>
  </si>
  <si>
    <t>Hoch Temperatur Paste</t>
  </si>
  <si>
    <t>Adapter für 2455</t>
  </si>
  <si>
    <t>Bremszylinder Paste</t>
  </si>
  <si>
    <t>Nozzel Clippper</t>
  </si>
  <si>
    <t>Reinigungsset</t>
  </si>
  <si>
    <t>Aplikator</t>
  </si>
  <si>
    <t>Super Kleber</t>
  </si>
  <si>
    <t>Klebepistole für 2199</t>
  </si>
  <si>
    <t>Kanüle für 2199</t>
  </si>
  <si>
    <t>PVP</t>
  </si>
  <si>
    <t>ADUANA</t>
  </si>
  <si>
    <t>PORTE UD</t>
  </si>
  <si>
    <t>Español</t>
  </si>
  <si>
    <t>Aleman</t>
  </si>
  <si>
    <t>Limpiador de Motor SF (sin disolventes)</t>
  </si>
  <si>
    <t>Limpiador de ATF</t>
  </si>
  <si>
    <t>Limpiador de Intercooler</t>
  </si>
  <si>
    <t>Limpiador Intensivo de Motor</t>
  </si>
  <si>
    <t>Protector Contra el Desgaste del Motor</t>
  </si>
  <si>
    <t>Aditivos para Aceites de Transmisión</t>
  </si>
  <si>
    <t>Protector ATF</t>
  </si>
  <si>
    <t>Limpiador de Dirección Asistida</t>
  </si>
  <si>
    <t>Protector de la Dirección Asistida</t>
  </si>
  <si>
    <t>Detector de Pérdida de Líquidos</t>
  </si>
  <si>
    <t>Protector del Sistema de Refrigeración</t>
  </si>
  <si>
    <t xml:space="preserve">Tapafugas </t>
  </si>
  <si>
    <t>Limpia Radiadores</t>
  </si>
  <si>
    <t>Protector Térmico</t>
  </si>
  <si>
    <t>Climafresh</t>
  </si>
  <si>
    <t>Airfresh Menta</t>
  </si>
  <si>
    <t>Tubo de 40 cm para Pistola de Desinfección</t>
  </si>
  <si>
    <t>Tubo de 60 cm para Pistola de Desinfección</t>
  </si>
  <si>
    <t>Pistola de Desinfección</t>
  </si>
  <si>
    <t>Airclean Limpiador de Conductos de Aire</t>
  </si>
  <si>
    <t>Tapafugas A/C con Indicador de Fugas</t>
  </si>
  <si>
    <t>Aceite para Compresor A/C</t>
  </si>
  <si>
    <t>Aceite para Compresor R123YF</t>
  </si>
  <si>
    <t>Aceite Universal para Compresor</t>
  </si>
  <si>
    <t>POE 68 Aceite Universal con Indicador UV</t>
  </si>
  <si>
    <t>Aceite de Bomba de Vacío</t>
  </si>
  <si>
    <t>Aceite para compresor A/C Híbrido</t>
  </si>
  <si>
    <t>AC Booster</t>
  </si>
  <si>
    <t>AC Leckindikator</t>
  </si>
  <si>
    <t>Limpiador Intensivo Diésel</t>
  </si>
  <si>
    <t>Limpiador de Admisión de Aire Diésel</t>
  </si>
  <si>
    <t>Turbo AGR Ansaugreiniger</t>
  </si>
  <si>
    <t>Limpiador de Válvulas de Mariposa y Carburadores</t>
  </si>
  <si>
    <t>Diésel Limpieza Completa</t>
  </si>
  <si>
    <t>Juego Limpiador DPF Turbo</t>
  </si>
  <si>
    <t>Limpiador Directo DPF</t>
  </si>
  <si>
    <t>Pistola de Apliación para WEPP 2232</t>
  </si>
  <si>
    <t>Protector GDI</t>
  </si>
  <si>
    <t>Limpiador GLP</t>
  </si>
  <si>
    <t>Aditivo para Motores Híbridos</t>
  </si>
  <si>
    <t>Disolvente Activo</t>
  </si>
  <si>
    <t>Flujo Diésel</t>
  </si>
  <si>
    <t>Frenos Hi Tec</t>
  </si>
  <si>
    <t>Pasta de Frenos con Cerámica</t>
  </si>
  <si>
    <t xml:space="preserve">Pasta de Frenos </t>
  </si>
  <si>
    <t>Anticongelante para Parabrisas</t>
  </si>
  <si>
    <t>Limpiador de Parabrisas Concentrado</t>
  </si>
  <si>
    <t>Lubricación Adhesiva</t>
  </si>
  <si>
    <t>Grasa semilíquida Transparente</t>
  </si>
  <si>
    <t>Aceite Adhesivo de Mantenimiento</t>
  </si>
  <si>
    <t>Grasa de Silicona</t>
  </si>
  <si>
    <t>Desbloqueante Activo</t>
  </si>
  <si>
    <r>
      <t>Rostlöser MOS</t>
    </r>
    <r>
      <rPr>
        <vertAlign val="subscript"/>
        <sz val="11"/>
        <rFont val="Calibri"/>
        <family val="2"/>
      </rPr>
      <t>2</t>
    </r>
  </si>
  <si>
    <r>
      <t>Desbloqueante MOS</t>
    </r>
    <r>
      <rPr>
        <vertAlign val="subscript"/>
        <sz val="11"/>
        <rFont val="Calibri"/>
        <family val="2"/>
      </rPr>
      <t>2</t>
    </r>
  </si>
  <si>
    <t>Aerosol de Silicona</t>
  </si>
  <si>
    <t>Aerosol de Mantenimiento</t>
  </si>
  <si>
    <t>Aerosol de Aceite con PTFE</t>
  </si>
  <si>
    <t>Aerosol de Grasa con PTFE</t>
  </si>
  <si>
    <t>Aerosol de Cobre</t>
  </si>
  <si>
    <t>Limpiacristales</t>
  </si>
  <si>
    <t>Limpiacontactos</t>
  </si>
  <si>
    <t>Limpiador de Electrónica</t>
  </si>
  <si>
    <t>Autoarranque</t>
  </si>
  <si>
    <t>Protecttor Bornes</t>
  </si>
  <si>
    <t>Brillo de Neumáticos</t>
  </si>
  <si>
    <t>Montaje de Neumáticos</t>
  </si>
  <si>
    <t>Sustituto de Juntas (negro)</t>
  </si>
  <si>
    <t>Sustituto de Juntas (gris)</t>
  </si>
  <si>
    <t>Spray Detector de Fugas (aire)</t>
  </si>
  <si>
    <t>Imprimación</t>
  </si>
  <si>
    <t>Limpiador de Vidrios y Pintura</t>
  </si>
  <si>
    <t>Pintura de Zinc</t>
  </si>
  <si>
    <t>Protector de Bajos (negro mate)</t>
  </si>
  <si>
    <t>Sellador de Cavidades (transparente)</t>
  </si>
  <si>
    <t>BENEFICIO TOTAL</t>
  </si>
  <si>
    <t>BENEFICIO MIO</t>
  </si>
  <si>
    <t>BENEFICIO COMERCIAL</t>
  </si>
  <si>
    <t>BENEFICIO %</t>
  </si>
  <si>
    <t>-</t>
  </si>
  <si>
    <t>PEDIDO</t>
  </si>
  <si>
    <t>dto unidad</t>
  </si>
  <si>
    <t>dto caja</t>
  </si>
  <si>
    <t>Volumen</t>
  </si>
  <si>
    <t>Unidad</t>
  </si>
  <si>
    <t>cantidad minima</t>
  </si>
  <si>
    <t>Nº</t>
  </si>
  <si>
    <t>2025-1</t>
  </si>
  <si>
    <t>Razón Social:</t>
  </si>
  <si>
    <t>CIF:</t>
  </si>
  <si>
    <t>Dirección:</t>
  </si>
  <si>
    <t>Dirección envío:</t>
  </si>
  <si>
    <t>Teléfono:</t>
  </si>
  <si>
    <t>Correo Electrónico:</t>
  </si>
  <si>
    <t>Ref.</t>
  </si>
  <si>
    <t>Precio ud</t>
  </si>
  <si>
    <t>DATOS CLIENTE</t>
  </si>
  <si>
    <t>Michael Leffler</t>
  </si>
  <si>
    <t>CCC</t>
  </si>
  <si>
    <t>2100 1789 0100 0000 0001</t>
  </si>
  <si>
    <t>Peones Camineros, Portal A 2 izq. 11158. La barca de Vejer</t>
  </si>
  <si>
    <t>X-0000000000-W</t>
  </si>
  <si>
    <t>600 100 100</t>
  </si>
  <si>
    <t>pedidos@wepp.es</t>
  </si>
  <si>
    <t>DATOS COMERCIAL</t>
  </si>
  <si>
    <t>FACTURA PROFORMA</t>
  </si>
  <si>
    <t>TOTAL</t>
  </si>
  <si>
    <t>PESO</t>
  </si>
  <si>
    <t>PESO TOTAL</t>
  </si>
  <si>
    <t>PESO UD</t>
  </si>
  <si>
    <t>PALET</t>
  </si>
  <si>
    <t>UNIDADES</t>
  </si>
  <si>
    <t>ocultar</t>
  </si>
  <si>
    <t>Total B.I.</t>
  </si>
  <si>
    <t>TOTAL B.I.</t>
  </si>
  <si>
    <t>I.V.A. (21%)</t>
  </si>
  <si>
    <t xml:space="preserve">FACTURA </t>
  </si>
  <si>
    <t>B.I.</t>
  </si>
  <si>
    <t>Limpiador de Motor 400</t>
  </si>
  <si>
    <t>Limpiador de Motor 300</t>
  </si>
  <si>
    <t>Indicador de Fuga de A/C 250</t>
  </si>
  <si>
    <t>Indicador de Fuga de A/C 1000</t>
  </si>
  <si>
    <t>Protector Diésel 300</t>
  </si>
  <si>
    <t>Protector Diésel 400</t>
  </si>
  <si>
    <t>Protector SCR 50</t>
  </si>
  <si>
    <t>Protector SCR 400</t>
  </si>
  <si>
    <t>Limpiador DPF Turbo 500</t>
  </si>
  <si>
    <t>Limpiador DPF Turbo 300</t>
  </si>
  <si>
    <t>Limpiador de Inyección Gasolina 500</t>
  </si>
  <si>
    <t>Limpiador de Inyección Gasolina 300</t>
  </si>
  <si>
    <t>Protector del Sistema de Inyección 400</t>
  </si>
  <si>
    <t>Protector del Sistema de Inyección 300</t>
  </si>
  <si>
    <t>Protector del Sistema de Frenos 400</t>
  </si>
  <si>
    <t>Protector del Sistema de Frenos 50</t>
  </si>
  <si>
    <t>Lubricante Sintético Adhesivo 400</t>
  </si>
  <si>
    <t>Lubricante Sintético Adhesivo 500</t>
  </si>
  <si>
    <t>Limpiador de Frenos sin Acetona 30000</t>
  </si>
  <si>
    <t>Adhesivo para Lunas HM/NL 310</t>
  </si>
  <si>
    <t>Adhesivo para Lunas HM/NL 400</t>
  </si>
  <si>
    <t>Kit Adhesivo para Lunas HM/NL 310</t>
  </si>
  <si>
    <t>Kit Adhesivo para Lunas HM/NL 400</t>
  </si>
  <si>
    <t>PRODUKT</t>
  </si>
  <si>
    <t>STÜCK</t>
  </si>
  <si>
    <t>michael.geonovatek@gmail.com</t>
  </si>
  <si>
    <t>Calle Cruz de la Calzada, 25. P.I. Pelagatos. 11130. Chiclana de la Frontera. Cádiz. España</t>
  </si>
  <si>
    <t>clase</t>
  </si>
  <si>
    <t>descatalogado</t>
  </si>
  <si>
    <t>Adhesivo Lunas Económico 290</t>
  </si>
  <si>
    <t>Adhesivo Lunas Económico 400</t>
  </si>
  <si>
    <t>Adaptador tapafugas</t>
  </si>
  <si>
    <t>Tapafugas A/C sin Indicador de Fugas 60</t>
  </si>
  <si>
    <t>Tapafugas A/C sin Indicador de Fugas 100</t>
  </si>
  <si>
    <t>Limpiador Intensivo de Válvulas</t>
  </si>
  <si>
    <t>Sonda para pistola 39000</t>
  </si>
  <si>
    <t>subtotal</t>
  </si>
  <si>
    <t>Desbloqueante MOS2</t>
  </si>
  <si>
    <t>Limpiador Universal</t>
  </si>
  <si>
    <t>Tapafugas de Aceite 400</t>
  </si>
  <si>
    <t>Tapafugas de Aceite 300</t>
  </si>
  <si>
    <t>Airclean</t>
  </si>
  <si>
    <t>Lubricante Universal POE 68</t>
  </si>
  <si>
    <t>Lubricante Universal POE 68 con Indicador UV</t>
  </si>
  <si>
    <t>Limpiador Turbo EGR Aspiración</t>
  </si>
  <si>
    <t>Aerosol para Interiores</t>
  </si>
  <si>
    <t>Limpiador de Frenos sin Acetona 400</t>
  </si>
  <si>
    <t>Adhesivo de Poluretano 2 componentes 90</t>
  </si>
  <si>
    <t>Adhesivo de Poluretano 2 componentes 210</t>
  </si>
  <si>
    <t>Guantes 8</t>
  </si>
  <si>
    <t>Guantes 9</t>
  </si>
  <si>
    <t>Guantes 10</t>
  </si>
  <si>
    <t>X-2239443-W</t>
  </si>
  <si>
    <t>+34 640074441</t>
  </si>
  <si>
    <t>Einzelpreis</t>
  </si>
  <si>
    <t>2025-0001</t>
  </si>
  <si>
    <t>motorytransmision</t>
  </si>
  <si>
    <t>refrigeracion</t>
  </si>
  <si>
    <t>climatizacion</t>
  </si>
  <si>
    <t>frenos</t>
  </si>
  <si>
    <t>sistemadecombustion</t>
  </si>
  <si>
    <t>mantenimientoycuidado</t>
  </si>
  <si>
    <t>carroceria</t>
  </si>
  <si>
    <t>motor</t>
  </si>
  <si>
    <t>combustion</t>
  </si>
  <si>
    <t>mantenimiento</t>
  </si>
  <si>
    <t>PVP (IVA INCLUIDO)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</si>
</sst>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name val="Calibri"/>
    </font>
    <font>
      <b/>
      <sz val="12"/>
      <name val="Calibri"/>
      <family val="2"/>
    </font>
    <font>
      <b/>
      <sz val="15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8"/>
      <name val="Calibri"/>
      <family val="2"/>
    </font>
    <font>
      <b/>
      <sz val="18"/>
      <color rgb="FF0070C0"/>
      <name val="Calibri"/>
      <family val="2"/>
    </font>
    <font>
      <sz val="18"/>
      <color rgb="FF0070C0"/>
      <name val="Calibri"/>
      <family val="2"/>
    </font>
    <font>
      <sz val="8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vertAlign val="subscript"/>
      <sz val="11"/>
      <name val="Calibri"/>
      <family val="2"/>
    </font>
    <font>
      <sz val="11"/>
      <color rgb="FFFF0000"/>
      <name val="Calibri"/>
      <family val="2"/>
    </font>
    <font>
      <sz val="11"/>
      <color theme="9" tint="0.39997558519241921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b/>
      <sz val="11"/>
      <name val="Calibri"/>
      <family val="2"/>
    </font>
    <font>
      <sz val="9"/>
      <color rgb="FF0070C0"/>
      <name val="Calibri"/>
      <family val="2"/>
    </font>
    <font>
      <sz val="8"/>
      <name val="Calibri"/>
      <family val="2"/>
    </font>
    <font>
      <sz val="12"/>
      <color rgb="FF0070C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</cellStyleXfs>
  <cellXfs count="142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0" fillId="0" borderId="0" xfId="0" applyProtection="1">
      <protection hidden="1"/>
    </xf>
    <xf numFmtId="2" fontId="0" fillId="0" borderId="0" xfId="0" applyNumberFormat="1" applyAlignment="1" applyProtection="1">
      <alignment horizontal="right"/>
      <protection hidden="1"/>
    </xf>
    <xf numFmtId="0" fontId="1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horizontal="right"/>
      <protection hidden="1"/>
    </xf>
    <xf numFmtId="0" fontId="2" fillId="0" borderId="0" xfId="0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2" fontId="0" fillId="0" borderId="0" xfId="0" applyNumberFormat="1"/>
    <xf numFmtId="0" fontId="3" fillId="0" borderId="0" xfId="0" applyFont="1"/>
    <xf numFmtId="164" fontId="3" fillId="0" borderId="0" xfId="0" applyNumberFormat="1" applyFont="1"/>
    <xf numFmtId="2" fontId="3" fillId="0" borderId="0" xfId="2" applyNumberFormat="1" applyFont="1" applyFill="1"/>
    <xf numFmtId="164" fontId="0" fillId="0" borderId="0" xfId="0" applyNumberFormat="1"/>
    <xf numFmtId="2" fontId="0" fillId="0" borderId="0" xfId="2" applyNumberFormat="1" applyFont="1" applyFill="1"/>
    <xf numFmtId="0" fontId="13" fillId="0" borderId="0" xfId="0" applyFont="1"/>
    <xf numFmtId="0" fontId="3" fillId="3" borderId="0" xfId="0" applyFont="1" applyFill="1"/>
    <xf numFmtId="164" fontId="0" fillId="3" borderId="0" xfId="0" applyNumberFormat="1" applyFill="1"/>
    <xf numFmtId="2" fontId="0" fillId="3" borderId="0" xfId="2" applyNumberFormat="1" applyFont="1" applyFill="1"/>
    <xf numFmtId="0" fontId="0" fillId="3" borderId="0" xfId="0" applyFill="1"/>
    <xf numFmtId="2" fontId="0" fillId="3" borderId="0" xfId="0" applyNumberFormat="1" applyFill="1"/>
    <xf numFmtId="164" fontId="12" fillId="3" borderId="0" xfId="0" applyNumberFormat="1" applyFont="1" applyFill="1"/>
    <xf numFmtId="164" fontId="3" fillId="3" borderId="0" xfId="0" applyNumberFormat="1" applyFont="1" applyFill="1"/>
    <xf numFmtId="49" fontId="3" fillId="0" borderId="0" xfId="0" applyNumberFormat="1" applyFont="1" applyAlignment="1">
      <alignment horizontal="center"/>
    </xf>
    <xf numFmtId="0" fontId="15" fillId="0" borderId="1" xfId="0" applyFont="1" applyBorder="1" applyAlignment="1" applyProtection="1">
      <alignment horizontal="left" vertical="center"/>
      <protection hidden="1"/>
    </xf>
    <xf numFmtId="0" fontId="14" fillId="2" borderId="1" xfId="0" applyFont="1" applyFill="1" applyBorder="1" applyAlignment="1" applyProtection="1">
      <alignment horizontal="left" vertical="center"/>
      <protection locked="0"/>
    </xf>
    <xf numFmtId="0" fontId="14" fillId="0" borderId="1" xfId="0" applyFont="1" applyBorder="1" applyAlignment="1" applyProtection="1">
      <alignment horizontal="right"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hidden="1"/>
    </xf>
    <xf numFmtId="0" fontId="15" fillId="0" borderId="1" xfId="0" applyFont="1" applyBorder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14" fillId="0" borderId="1" xfId="0" applyFont="1" applyBorder="1" applyAlignment="1" applyProtection="1">
      <alignment horizontal="center" vertical="center"/>
      <protection hidden="1"/>
    </xf>
    <xf numFmtId="0" fontId="14" fillId="0" borderId="1" xfId="0" applyFont="1" applyBorder="1" applyAlignment="1" applyProtection="1">
      <alignment horizontal="right" vertical="center"/>
      <protection hidden="1"/>
    </xf>
    <xf numFmtId="2" fontId="14" fillId="0" borderId="1" xfId="0" applyNumberFormat="1" applyFont="1" applyBorder="1" applyAlignment="1" applyProtection="1">
      <alignment horizontal="right" vertical="center"/>
      <protection hidden="1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right" vertical="center"/>
      <protection hidden="1"/>
    </xf>
    <xf numFmtId="2" fontId="14" fillId="0" borderId="0" xfId="0" applyNumberFormat="1" applyFont="1" applyAlignment="1" applyProtection="1">
      <alignment horizontal="right" vertical="center"/>
      <protection hidden="1"/>
    </xf>
    <xf numFmtId="2" fontId="15" fillId="0" borderId="1" xfId="0" applyNumberFormat="1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vertical="center"/>
      <protection locked="0"/>
    </xf>
    <xf numFmtId="0" fontId="7" fillId="0" borderId="1" xfId="0" applyFont="1" applyBorder="1" applyAlignment="1" applyProtection="1">
      <alignment horizontal="center" vertical="center"/>
      <protection hidden="1"/>
    </xf>
    <xf numFmtId="0" fontId="3" fillId="0" borderId="1" xfId="0" applyFont="1" applyBorder="1" applyAlignment="1">
      <alignment vertical="center"/>
    </xf>
    <xf numFmtId="0" fontId="9" fillId="0" borderId="0" xfId="1" applyAlignment="1"/>
    <xf numFmtId="0" fontId="0" fillId="0" borderId="0" xfId="0" applyAlignment="1">
      <alignment vertical="center"/>
    </xf>
    <xf numFmtId="0" fontId="1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5" fillId="0" borderId="0" xfId="0" applyFont="1" applyAlignment="1" applyProtection="1">
      <alignment horizontal="center" vertical="center"/>
      <protection hidden="1"/>
    </xf>
    <xf numFmtId="2" fontId="14" fillId="0" borderId="0" xfId="0" applyNumberFormat="1" applyFont="1" applyAlignment="1" applyProtection="1">
      <alignment vertical="center"/>
      <protection locked="0"/>
    </xf>
    <xf numFmtId="0" fontId="17" fillId="0" borderId="1" xfId="0" applyFont="1" applyBorder="1" applyAlignment="1" applyProtection="1">
      <alignment horizontal="center" vertical="center"/>
      <protection hidden="1"/>
    </xf>
    <xf numFmtId="2" fontId="17" fillId="0" borderId="1" xfId="0" applyNumberFormat="1" applyFont="1" applyBorder="1" applyAlignment="1" applyProtection="1">
      <alignment horizontal="right" vertical="center"/>
      <protection hidden="1"/>
    </xf>
    <xf numFmtId="9" fontId="14" fillId="0" borderId="0" xfId="0" applyNumberFormat="1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5" fillId="0" borderId="1" xfId="0" applyFont="1" applyBorder="1" applyAlignment="1" applyProtection="1">
      <alignment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left" vertical="center"/>
      <protection locked="0"/>
    </xf>
    <xf numFmtId="0" fontId="14" fillId="4" borderId="1" xfId="0" applyFont="1" applyFill="1" applyBorder="1" applyAlignment="1" applyProtection="1">
      <alignment horizontal="right" vertical="center"/>
      <protection locked="0"/>
    </xf>
    <xf numFmtId="2" fontId="14" fillId="4" borderId="1" xfId="0" applyNumberFormat="1" applyFont="1" applyFill="1" applyBorder="1" applyAlignment="1" applyProtection="1">
      <alignment horizontal="right" vertical="center"/>
      <protection locked="0"/>
    </xf>
    <xf numFmtId="0" fontId="14" fillId="0" borderId="12" xfId="0" applyFont="1" applyBorder="1" applyAlignment="1" applyProtection="1">
      <alignment horizontal="right" vertical="center"/>
      <protection locked="0"/>
    </xf>
    <xf numFmtId="0" fontId="14" fillId="0" borderId="15" xfId="0" applyFont="1" applyBorder="1" applyAlignment="1" applyProtection="1">
      <alignment horizontal="right" vertical="center"/>
      <protection locked="0"/>
    </xf>
    <xf numFmtId="0" fontId="14" fillId="2" borderId="15" xfId="0" applyFont="1" applyFill="1" applyBorder="1" applyAlignment="1" applyProtection="1">
      <alignment horizontal="left" vertical="center"/>
      <protection locked="0"/>
    </xf>
    <xf numFmtId="2" fontId="14" fillId="0" borderId="16" xfId="0" applyNumberFormat="1" applyFont="1" applyBorder="1" applyAlignment="1" applyProtection="1">
      <alignment horizontal="right" vertical="center"/>
      <protection hidden="1"/>
    </xf>
    <xf numFmtId="0" fontId="14" fillId="0" borderId="18" xfId="0" applyFont="1" applyBorder="1" applyAlignment="1" applyProtection="1">
      <alignment horizontal="center" vertical="center"/>
      <protection hidden="1"/>
    </xf>
    <xf numFmtId="0" fontId="14" fillId="0" borderId="18" xfId="0" applyFont="1" applyBorder="1" applyAlignment="1" applyProtection="1">
      <alignment horizontal="right" vertical="center"/>
      <protection hidden="1"/>
    </xf>
    <xf numFmtId="2" fontId="14" fillId="0" borderId="18" xfId="0" applyNumberFormat="1" applyFont="1" applyBorder="1" applyAlignment="1" applyProtection="1">
      <alignment horizontal="right" vertical="center"/>
      <protection hidden="1"/>
    </xf>
    <xf numFmtId="2" fontId="14" fillId="0" borderId="19" xfId="0" applyNumberFormat="1" applyFont="1" applyBorder="1" applyAlignment="1" applyProtection="1">
      <alignment horizontal="right" vertical="center"/>
      <protection hidden="1"/>
    </xf>
    <xf numFmtId="2" fontId="15" fillId="0" borderId="20" xfId="0" applyNumberFormat="1" applyFont="1" applyBorder="1" applyAlignment="1" applyProtection="1">
      <alignment horizontal="center" vertical="center"/>
      <protection hidden="1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0" borderId="4" xfId="0" applyFont="1" applyBorder="1" applyAlignment="1" applyProtection="1">
      <alignment horizontal="center" vertical="center"/>
      <protection hidden="1"/>
    </xf>
    <xf numFmtId="0" fontId="14" fillId="0" borderId="4" xfId="0" applyFont="1" applyBorder="1" applyAlignment="1" applyProtection="1">
      <alignment horizontal="right" vertical="center"/>
      <protection hidden="1"/>
    </xf>
    <xf numFmtId="2" fontId="14" fillId="0" borderId="4" xfId="0" applyNumberFormat="1" applyFont="1" applyBorder="1" applyAlignment="1" applyProtection="1">
      <alignment horizontal="right" vertical="center"/>
      <protection hidden="1"/>
    </xf>
    <xf numFmtId="2" fontId="14" fillId="0" borderId="22" xfId="0" applyNumberFormat="1" applyFont="1" applyBorder="1" applyAlignment="1" applyProtection="1">
      <alignment horizontal="right" vertical="center"/>
      <protection hidden="1"/>
    </xf>
    <xf numFmtId="0" fontId="7" fillId="0" borderId="24" xfId="0" applyFont="1" applyBorder="1" applyAlignment="1" applyProtection="1">
      <alignment horizontal="center" vertical="center"/>
      <protection hidden="1"/>
    </xf>
    <xf numFmtId="0" fontId="3" fillId="0" borderId="20" xfId="0" applyFont="1" applyBorder="1" applyAlignment="1">
      <alignment vertical="center"/>
    </xf>
    <xf numFmtId="0" fontId="14" fillId="0" borderId="25" xfId="0" applyFont="1" applyBorder="1" applyAlignment="1" applyProtection="1">
      <alignment horizontal="right" vertical="center"/>
      <protection locked="0"/>
    </xf>
    <xf numFmtId="0" fontId="15" fillId="0" borderId="21" xfId="0" applyFont="1" applyBorder="1" applyAlignment="1" applyProtection="1">
      <alignment horizontal="left" vertical="center"/>
      <protection hidden="1"/>
    </xf>
    <xf numFmtId="0" fontId="15" fillId="0" borderId="4" xfId="0" applyFont="1" applyBorder="1" applyAlignment="1" applyProtection="1">
      <alignment horizontal="center" vertical="center"/>
      <protection hidden="1"/>
    </xf>
    <xf numFmtId="0" fontId="15" fillId="0" borderId="22" xfId="0" applyFont="1" applyBorder="1" applyAlignment="1" applyProtection="1">
      <alignment horizontal="center" vertical="center"/>
      <protection hidden="1"/>
    </xf>
    <xf numFmtId="0" fontId="14" fillId="0" borderId="15" xfId="0" applyFont="1" applyBorder="1" applyAlignment="1" applyProtection="1">
      <alignment horizontal="center" vertical="center"/>
      <protection hidden="1"/>
    </xf>
    <xf numFmtId="0" fontId="14" fillId="0" borderId="17" xfId="0" applyFont="1" applyBorder="1" applyAlignment="1" applyProtection="1">
      <alignment horizontal="center" vertical="center"/>
      <protection hidden="1"/>
    </xf>
    <xf numFmtId="0" fontId="14" fillId="0" borderId="18" xfId="0" applyFont="1" applyBorder="1" applyAlignment="1" applyProtection="1">
      <alignment horizontal="left" vertical="center"/>
      <protection locked="0"/>
    </xf>
    <xf numFmtId="0" fontId="15" fillId="0" borderId="12" xfId="0" applyFont="1" applyBorder="1" applyAlignment="1" applyProtection="1">
      <alignment horizontal="center" vertical="center"/>
      <protection hidden="1"/>
    </xf>
    <xf numFmtId="0" fontId="15" fillId="0" borderId="13" xfId="0" applyFont="1" applyBorder="1" applyAlignment="1" applyProtection="1">
      <alignment horizontal="left" vertical="center"/>
      <protection hidden="1"/>
    </xf>
    <xf numFmtId="0" fontId="15" fillId="0" borderId="13" xfId="0" applyFont="1" applyBorder="1" applyAlignment="1" applyProtection="1">
      <alignment horizontal="center" vertical="center"/>
      <protection hidden="1"/>
    </xf>
    <xf numFmtId="0" fontId="15" fillId="0" borderId="14" xfId="0" applyFont="1" applyBorder="1" applyAlignment="1" applyProtection="1">
      <alignment horizontal="center" vertical="center"/>
      <protection hidden="1"/>
    </xf>
    <xf numFmtId="2" fontId="15" fillId="0" borderId="28" xfId="0" applyNumberFormat="1" applyFont="1" applyBorder="1" applyAlignment="1" applyProtection="1">
      <alignment horizontal="center" vertical="center"/>
      <protection hidden="1"/>
    </xf>
    <xf numFmtId="0" fontId="15" fillId="0" borderId="28" xfId="0" applyFont="1" applyBorder="1" applyAlignment="1" applyProtection="1">
      <alignment horizontal="center" vertical="center"/>
      <protection hidden="1"/>
    </xf>
    <xf numFmtId="0" fontId="19" fillId="0" borderId="5" xfId="0" applyFont="1" applyBorder="1" applyAlignment="1" applyProtection="1">
      <alignment horizontal="center" vertical="center"/>
      <protection hidden="1"/>
    </xf>
    <xf numFmtId="0" fontId="14" fillId="2" borderId="11" xfId="0" applyFont="1" applyFill="1" applyBorder="1" applyAlignment="1" applyProtection="1">
      <alignment horizontal="left" vertical="center"/>
      <protection locked="0"/>
    </xf>
    <xf numFmtId="0" fontId="14" fillId="5" borderId="15" xfId="0" applyFont="1" applyFill="1" applyBorder="1" applyAlignment="1" applyProtection="1">
      <alignment horizontal="left" vertical="center"/>
      <protection locked="0"/>
    </xf>
    <xf numFmtId="0" fontId="3" fillId="0" borderId="0" xfId="0" applyFont="1" applyAlignment="1">
      <alignment horizontal="center" vertical="center"/>
    </xf>
    <xf numFmtId="0" fontId="6" fillId="0" borderId="5" xfId="0" applyFont="1" applyBorder="1" applyAlignment="1" applyProtection="1">
      <alignment horizontal="center" vertical="center"/>
      <protection hidden="1"/>
    </xf>
    <xf numFmtId="0" fontId="16" fillId="0" borderId="6" xfId="0" applyFont="1" applyBorder="1" applyAlignment="1">
      <alignment vertical="center"/>
    </xf>
    <xf numFmtId="0" fontId="16" fillId="0" borderId="23" xfId="0" applyFont="1" applyBorder="1" applyAlignment="1">
      <alignment vertical="center"/>
    </xf>
    <xf numFmtId="0" fontId="9" fillId="0" borderId="26" xfId="1" applyBorder="1" applyAlignment="1" applyProtection="1">
      <alignment horizontal="center" vertical="center"/>
      <protection locked="0"/>
    </xf>
    <xf numFmtId="0" fontId="14" fillId="0" borderId="26" xfId="0" applyFont="1" applyBorder="1" applyAlignment="1">
      <alignment vertical="center"/>
    </xf>
    <xf numFmtId="0" fontId="14" fillId="0" borderId="27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14" fillId="0" borderId="13" xfId="0" applyFont="1" applyBorder="1" applyAlignment="1" applyProtection="1">
      <alignment horizontal="center" vertical="center"/>
      <protection locked="0"/>
    </xf>
    <xf numFmtId="0" fontId="14" fillId="0" borderId="13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>
      <alignment vertical="center"/>
    </xf>
    <xf numFmtId="0" fontId="14" fillId="0" borderId="16" xfId="0" applyFont="1" applyBorder="1" applyAlignment="1">
      <alignment vertical="center"/>
    </xf>
    <xf numFmtId="49" fontId="14" fillId="0" borderId="1" xfId="0" applyNumberFormat="1" applyFont="1" applyBorder="1" applyAlignment="1" applyProtection="1">
      <alignment horizontal="center" vertical="center"/>
      <protection locked="0"/>
    </xf>
    <xf numFmtId="49" fontId="14" fillId="0" borderId="1" xfId="0" applyNumberFormat="1" applyFont="1" applyBorder="1" applyAlignment="1">
      <alignment vertical="center"/>
    </xf>
    <xf numFmtId="49" fontId="14" fillId="0" borderId="16" xfId="0" applyNumberFormat="1" applyFont="1" applyBorder="1" applyAlignment="1">
      <alignment vertical="center"/>
    </xf>
    <xf numFmtId="0" fontId="16" fillId="0" borderId="6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4" fillId="0" borderId="26" xfId="0" applyFont="1" applyBorder="1" applyAlignment="1" applyProtection="1">
      <alignment horizontal="center" vertical="center"/>
      <protection locked="0"/>
    </xf>
    <xf numFmtId="0" fontId="14" fillId="0" borderId="15" xfId="0" applyFont="1" applyBorder="1" applyAlignment="1" applyProtection="1">
      <alignment vertical="center"/>
      <protection locked="0"/>
    </xf>
    <xf numFmtId="0" fontId="0" fillId="0" borderId="1" xfId="0" applyBorder="1" applyAlignment="1">
      <alignment vertical="center"/>
    </xf>
    <xf numFmtId="0" fontId="14" fillId="0" borderId="25" xfId="0" applyFont="1" applyBorder="1" applyAlignment="1" applyProtection="1">
      <alignment vertical="center"/>
      <protection locked="0"/>
    </xf>
    <xf numFmtId="0" fontId="0" fillId="0" borderId="26" xfId="0" applyBorder="1" applyAlignment="1">
      <alignment vertical="center"/>
    </xf>
    <xf numFmtId="0" fontId="14" fillId="0" borderId="12" xfId="0" applyFont="1" applyBorder="1" applyAlignment="1" applyProtection="1">
      <alignment vertical="center"/>
      <protection locked="0"/>
    </xf>
    <xf numFmtId="0" fontId="0" fillId="0" borderId="13" xfId="0" applyBorder="1" applyAlignment="1">
      <alignment vertical="center"/>
    </xf>
    <xf numFmtId="0" fontId="7" fillId="0" borderId="2" xfId="0" applyFont="1" applyBorder="1" applyAlignment="1" applyProtection="1">
      <alignment vertical="center"/>
      <protection hidden="1"/>
    </xf>
    <xf numFmtId="0" fontId="3" fillId="0" borderId="3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6" fillId="0" borderId="2" xfId="0" applyFont="1" applyBorder="1" applyAlignment="1" applyProtection="1">
      <alignment horizontal="center" vertical="center"/>
      <protection hidden="1"/>
    </xf>
    <xf numFmtId="0" fontId="16" fillId="0" borderId="3" xfId="0" applyFont="1" applyBorder="1" applyAlignment="1">
      <alignment vertical="center"/>
    </xf>
    <xf numFmtId="0" fontId="16" fillId="0" borderId="11" xfId="0" applyFont="1" applyBorder="1" applyAlignment="1">
      <alignment vertical="center"/>
    </xf>
    <xf numFmtId="0" fontId="3" fillId="0" borderId="0" xfId="0" applyFont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/>
    <xf numFmtId="0" fontId="6" fillId="0" borderId="8" xfId="0" applyFont="1" applyBorder="1" applyAlignment="1" applyProtection="1">
      <alignment horizontal="center" vertical="center"/>
      <protection hidden="1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Fill="1"/>
    <xf numFmtId="2" fontId="0" fillId="0" borderId="0" xfId="0" applyNumberFormat="1" applyFill="1"/>
    <xf numFmtId="0" fontId="3" fillId="0" borderId="0" xfId="0" applyFont="1" applyFill="1"/>
    <xf numFmtId="164" fontId="3" fillId="0" borderId="0" xfId="0" applyNumberFormat="1" applyFont="1" applyFill="1"/>
    <xf numFmtId="49" fontId="3" fillId="0" borderId="0" xfId="0" applyNumberFormat="1" applyFont="1" applyFill="1" applyAlignment="1">
      <alignment horizontal="center"/>
    </xf>
    <xf numFmtId="0" fontId="13" fillId="0" borderId="0" xfId="0" applyFont="1" applyFill="1"/>
    <xf numFmtId="164" fontId="0" fillId="0" borderId="0" xfId="0" applyNumberFormat="1" applyFill="1"/>
    <xf numFmtId="164" fontId="12" fillId="0" borderId="0" xfId="0" applyNumberFormat="1" applyFont="1" applyFill="1"/>
    <xf numFmtId="0" fontId="0" fillId="0" borderId="0" xfId="0" applyFill="1" applyAlignment="1">
      <alignment horizontal="center"/>
    </xf>
    <xf numFmtId="0" fontId="3" fillId="0" borderId="0" xfId="0" applyFont="1" applyFill="1" applyAlignment="1">
      <alignment horizontal="center"/>
    </xf>
  </cellXfs>
  <cellStyles count="3">
    <cellStyle name="Hipervínculo" xfId="1" builtinId="8"/>
    <cellStyle name="Normal" xfId="0" builtinId="0"/>
    <cellStyle name="Porcentaje" xfId="2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67B9B0"/>
      <color rgb="FF1742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ichael.geonovatek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pedidos@wepp.es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pedidos@wepp.es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pedidos@wepp.es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CEE6A-D4D4-406E-B847-CB027E6EF85E}">
  <sheetPr codeName="Hoja1"/>
  <dimension ref="A1:U165"/>
  <sheetViews>
    <sheetView topLeftCell="A66" zoomScale="95" zoomScaleNormal="95" workbookViewId="0">
      <selection activeCell="B10" sqref="B10"/>
    </sheetView>
  </sheetViews>
  <sheetFormatPr baseColWidth="10" defaultColWidth="8.88671875" defaultRowHeight="14.4" x14ac:dyDescent="0.3"/>
  <cols>
    <col min="1" max="1" width="19.6640625" style="1" customWidth="1"/>
    <col min="2" max="2" width="40.6640625" style="11" customWidth="1"/>
    <col min="3" max="4" width="12.6640625" style="11" customWidth="1"/>
    <col min="5" max="6" width="12.6640625" style="4" customWidth="1"/>
    <col min="7" max="7" width="8.6640625" style="4" hidden="1" customWidth="1"/>
    <col min="8" max="9" width="12.6640625" style="4" customWidth="1"/>
    <col min="10" max="11" width="10.6640625" style="4" customWidth="1"/>
    <col min="12" max="13" width="0" style="1" hidden="1" customWidth="1"/>
    <col min="14" max="14" width="8.88671875" style="1" hidden="1" customWidth="1"/>
    <col min="15" max="18" width="0" style="1" hidden="1" customWidth="1"/>
    <col min="19" max="16384" width="8.88671875" style="1"/>
  </cols>
  <sheetData>
    <row r="1" spans="1:21" ht="24.9" customHeight="1" thickBot="1" x14ac:dyDescent="0.35">
      <c r="B1" s="94" t="s">
        <v>263</v>
      </c>
      <c r="C1" s="100"/>
      <c r="D1" s="100"/>
      <c r="E1" s="100"/>
      <c r="F1" s="100"/>
      <c r="G1" s="100"/>
      <c r="H1" s="100"/>
      <c r="I1" s="100"/>
      <c r="J1" s="101"/>
      <c r="K1" s="47"/>
    </row>
    <row r="2" spans="1:21" s="30" customFormat="1" ht="15" customHeight="1" x14ac:dyDescent="0.3">
      <c r="B2" s="61" t="s">
        <v>255</v>
      </c>
      <c r="C2" s="102" t="s">
        <v>264</v>
      </c>
      <c r="D2" s="103"/>
      <c r="E2" s="103"/>
      <c r="F2" s="103"/>
      <c r="G2" s="103"/>
      <c r="H2" s="103"/>
      <c r="I2" s="103"/>
      <c r="J2" s="104"/>
      <c r="K2" s="48"/>
    </row>
    <row r="3" spans="1:21" s="30" customFormat="1" ht="15" customHeight="1" x14ac:dyDescent="0.3">
      <c r="B3" s="62" t="s">
        <v>256</v>
      </c>
      <c r="C3" s="105" t="s">
        <v>337</v>
      </c>
      <c r="D3" s="106"/>
      <c r="E3" s="106"/>
      <c r="F3" s="106"/>
      <c r="G3" s="106"/>
      <c r="H3" s="106"/>
      <c r="I3" s="106"/>
      <c r="J3" s="107"/>
      <c r="K3" s="48"/>
    </row>
    <row r="4" spans="1:21" s="30" customFormat="1" ht="15" customHeight="1" x14ac:dyDescent="0.3">
      <c r="B4" s="62" t="s">
        <v>257</v>
      </c>
      <c r="C4" s="105" t="s">
        <v>267</v>
      </c>
      <c r="D4" s="106"/>
      <c r="E4" s="106"/>
      <c r="F4" s="106"/>
      <c r="G4" s="106"/>
      <c r="H4" s="106"/>
      <c r="I4" s="106"/>
      <c r="J4" s="107"/>
      <c r="K4" s="48"/>
    </row>
    <row r="5" spans="1:21" s="30" customFormat="1" ht="15" customHeight="1" x14ac:dyDescent="0.3">
      <c r="B5" s="62" t="s">
        <v>258</v>
      </c>
      <c r="C5" s="105" t="s">
        <v>311</v>
      </c>
      <c r="D5" s="106"/>
      <c r="E5" s="106"/>
      <c r="F5" s="106"/>
      <c r="G5" s="106"/>
      <c r="H5" s="106"/>
      <c r="I5" s="106"/>
      <c r="J5" s="107"/>
      <c r="K5" s="48"/>
    </row>
    <row r="6" spans="1:21" s="30" customFormat="1" ht="15" customHeight="1" x14ac:dyDescent="0.3">
      <c r="B6" s="62" t="s">
        <v>259</v>
      </c>
      <c r="C6" s="108" t="s">
        <v>338</v>
      </c>
      <c r="D6" s="109"/>
      <c r="E6" s="109"/>
      <c r="F6" s="109"/>
      <c r="G6" s="109"/>
      <c r="H6" s="109"/>
      <c r="I6" s="109"/>
      <c r="J6" s="110"/>
      <c r="K6" s="48"/>
    </row>
    <row r="7" spans="1:21" s="30" customFormat="1" ht="15" customHeight="1" thickBot="1" x14ac:dyDescent="0.35">
      <c r="B7" s="77" t="s">
        <v>260</v>
      </c>
      <c r="C7" s="97" t="s">
        <v>310</v>
      </c>
      <c r="D7" s="98"/>
      <c r="E7" s="98"/>
      <c r="F7" s="98"/>
      <c r="G7" s="98"/>
      <c r="H7" s="98"/>
      <c r="I7" s="98"/>
      <c r="J7" s="99"/>
      <c r="K7" s="48"/>
    </row>
    <row r="8" spans="1:21" s="31" customFormat="1" ht="24.9" customHeight="1" thickBot="1" x14ac:dyDescent="0.35">
      <c r="B8" s="94" t="s">
        <v>247</v>
      </c>
      <c r="C8" s="95"/>
      <c r="D8" s="95"/>
      <c r="E8" s="95"/>
      <c r="F8" s="95"/>
      <c r="G8" s="95"/>
      <c r="H8" s="96"/>
      <c r="I8" s="75" t="s">
        <v>253</v>
      </c>
      <c r="J8" s="76" t="s">
        <v>340</v>
      </c>
      <c r="K8" s="49"/>
    </row>
    <row r="9" spans="1:21" s="33" customFormat="1" ht="15" customHeight="1" x14ac:dyDescent="0.3">
      <c r="B9" s="78" t="s">
        <v>4</v>
      </c>
      <c r="C9" s="79" t="s">
        <v>261</v>
      </c>
      <c r="D9" s="79" t="s">
        <v>250</v>
      </c>
      <c r="E9" s="79" t="s">
        <v>1</v>
      </c>
      <c r="F9" s="79" t="s">
        <v>251</v>
      </c>
      <c r="G9" s="79"/>
      <c r="H9" s="79" t="s">
        <v>2</v>
      </c>
      <c r="I9" s="79" t="s">
        <v>262</v>
      </c>
      <c r="J9" s="80" t="s">
        <v>273</v>
      </c>
      <c r="K9" s="50"/>
      <c r="M9" s="33" t="s">
        <v>276</v>
      </c>
      <c r="N9" s="33" t="s">
        <v>8</v>
      </c>
      <c r="O9" s="33" t="s">
        <v>275</v>
      </c>
      <c r="S9" s="33" t="s">
        <v>277</v>
      </c>
      <c r="T9" s="33" t="s">
        <v>274</v>
      </c>
      <c r="U9" s="33" t="s">
        <v>278</v>
      </c>
    </row>
    <row r="10" spans="1:21" s="30" customFormat="1" ht="15" customHeight="1" x14ac:dyDescent="0.3">
      <c r="A10" s="92" t="s">
        <v>348</v>
      </c>
      <c r="B10" s="91" t="s">
        <v>325</v>
      </c>
      <c r="C10" s="34" t="str">
        <f>IF(B10="-","",VLOOKUP(B10,DATOS!$I$3:$K$200,2,FALSE))</f>
        <v>2011-300</v>
      </c>
      <c r="D10" s="35" t="str">
        <f>IF(B10="-","",CONCATENATE(VLOOKUP(C10,DATOS!$J$3:$K$200,2,FALSE)," ml"))</f>
        <v>300 ml</v>
      </c>
      <c r="E10" s="35" t="s">
        <v>18</v>
      </c>
      <c r="F10" s="36">
        <v>2</v>
      </c>
      <c r="G10" s="36">
        <f>IF(B10="-","",IF(E10="caja",VLOOKUP(B10,DATOS!$I$3:$AC$137,21,FALSE),F10))</f>
        <v>24</v>
      </c>
      <c r="H10" s="36">
        <f t="shared" ref="H10:H29" si="0">IF(B10="-","",IF(E10="caja",F10*G10,F10))</f>
        <v>48</v>
      </c>
      <c r="I10" s="36">
        <f>IF(B10="-","",VLOOKUP(B10,DATOS!$I$3:$S$138,4,FALSE))</f>
        <v>2.8</v>
      </c>
      <c r="J10" s="64">
        <f t="shared" ref="J10:J29" si="1">IF(B10="-","",H10*I10)</f>
        <v>134.39999999999998</v>
      </c>
      <c r="K10" s="39"/>
      <c r="M10" s="36">
        <f>IF(B10="-","",VLOOKUP(B10,DATOS!$I$3:$AF$138,24,FALSE))</f>
        <v>0.33</v>
      </c>
      <c r="N10" s="30" t="s">
        <v>18</v>
      </c>
      <c r="O10" s="30">
        <f>IF(H10="",0,M10*H10)</f>
        <v>15.84</v>
      </c>
      <c r="T10" s="30">
        <f>1000-T11</f>
        <v>626.88000000000011</v>
      </c>
      <c r="U10" s="51">
        <f>1200-U11</f>
        <v>27</v>
      </c>
    </row>
    <row r="11" spans="1:21" s="30" customFormat="1" ht="15" customHeight="1" x14ac:dyDescent="0.3">
      <c r="A11" s="92" t="s">
        <v>342</v>
      </c>
      <c r="B11" s="91" t="s">
        <v>180</v>
      </c>
      <c r="C11" s="34">
        <f>IF(B11="-","",VLOOKUP(B11,DATOS!$I$3:$K$200,2,FALSE))</f>
        <v>2023</v>
      </c>
      <c r="D11" s="35" t="str">
        <f>IF(B11="-","",CONCATENATE(VLOOKUP(C11,DATOS!$J$3:$K$200,2,FALSE)," ml"))</f>
        <v>400 ml</v>
      </c>
      <c r="E11" s="35" t="s">
        <v>18</v>
      </c>
      <c r="F11" s="36">
        <v>1</v>
      </c>
      <c r="G11" s="36">
        <f>IF(B11="-","",IF(E11="caja",VLOOKUP(B11,DATOS!$I$3:$AC$137,21,FALSE),F11))</f>
        <v>24</v>
      </c>
      <c r="H11" s="36">
        <f t="shared" si="0"/>
        <v>24</v>
      </c>
      <c r="I11" s="36">
        <f>IF(B11="-","",VLOOKUP(B11,DATOS!$I$3:$S$138,4,FALSE))</f>
        <v>2.75</v>
      </c>
      <c r="J11" s="64">
        <f t="shared" si="1"/>
        <v>66</v>
      </c>
      <c r="K11" s="39"/>
      <c r="M11" s="36">
        <f>IF(B11="-","",VLOOKUP(B11,DATOS!$I$3:$AF$138,24,FALSE))</f>
        <v>0.44000000000000006</v>
      </c>
      <c r="O11" s="30">
        <f t="shared" ref="O11:O29" si="2">IF(H11="",0,M11*H11)</f>
        <v>10.560000000000002</v>
      </c>
      <c r="T11" s="30">
        <f>SUM(O10:O123)</f>
        <v>373.11999999999983</v>
      </c>
      <c r="U11" s="51">
        <f>SUM(H10:H123)</f>
        <v>1173</v>
      </c>
    </row>
    <row r="12" spans="1:21" s="30" customFormat="1" ht="15" customHeight="1" x14ac:dyDescent="0.3">
      <c r="A12" s="92" t="s">
        <v>343</v>
      </c>
      <c r="B12" s="91" t="s">
        <v>44</v>
      </c>
      <c r="C12" s="34">
        <f>IF(B12="-","",VLOOKUP(B12,DATOS!$I$3:$K$200,2,FALSE))</f>
        <v>2025</v>
      </c>
      <c r="D12" s="35" t="str">
        <f>IF(B12="-","",CONCATENATE(VLOOKUP(C12,DATOS!$J$3:$K$200,2,FALSE)," ml"))</f>
        <v>100 ml</v>
      </c>
      <c r="E12" s="35" t="s">
        <v>18</v>
      </c>
      <c r="F12" s="36">
        <v>2</v>
      </c>
      <c r="G12" s="36">
        <f>IF(B12="-","",IF(E12="caja",VLOOKUP(B12,DATOS!$I$3:$AC$137,21,FALSE),F12))</f>
        <v>24</v>
      </c>
      <c r="H12" s="36">
        <f t="shared" si="0"/>
        <v>48</v>
      </c>
      <c r="I12" s="36">
        <f>IF(B12="-","",VLOOKUP(B12,DATOS!$I$3:$S$138,4,FALSE))</f>
        <v>3.35</v>
      </c>
      <c r="J12" s="64">
        <f t="shared" si="1"/>
        <v>160.80000000000001</v>
      </c>
      <c r="K12" s="39"/>
      <c r="M12" s="36">
        <f>IF(B12="-","",VLOOKUP(B12,DATOS!$I$3:$AF$138,24,FALSE))</f>
        <v>0.11000000000000001</v>
      </c>
      <c r="O12" s="30">
        <f t="shared" si="2"/>
        <v>5.2800000000000011</v>
      </c>
    </row>
    <row r="13" spans="1:21" s="30" customFormat="1" ht="15" customHeight="1" x14ac:dyDescent="0.3">
      <c r="A13" s="92" t="s">
        <v>347</v>
      </c>
      <c r="B13" s="91" t="s">
        <v>239</v>
      </c>
      <c r="C13" s="34">
        <f>IF(B13="-","",VLOOKUP(B13,DATOS!$I$3:$K$200,2,FALSE))</f>
        <v>2090</v>
      </c>
      <c r="D13" s="35" t="str">
        <f>IF(B13="-","",CONCATENATE(VLOOKUP(C13,DATOS!$J$3:$K$200,2,FALSE)," ml"))</f>
        <v>400 ml</v>
      </c>
      <c r="E13" s="35" t="s">
        <v>18</v>
      </c>
      <c r="F13" s="36">
        <v>2</v>
      </c>
      <c r="G13" s="36">
        <f>IF(B13="-","",IF(E13="caja",VLOOKUP(B13,DATOS!$I$3:$AC$137,21,FALSE),F13))</f>
        <v>24</v>
      </c>
      <c r="H13" s="36">
        <f t="shared" si="0"/>
        <v>48</v>
      </c>
      <c r="I13" s="36">
        <f>IF(B13="-","",VLOOKUP(B13,DATOS!$I$3:$S$138,4,FALSE))</f>
        <v>3.5</v>
      </c>
      <c r="J13" s="64">
        <f t="shared" si="1"/>
        <v>168</v>
      </c>
      <c r="K13" s="39"/>
      <c r="M13" s="36">
        <f>IF(B13="-","",VLOOKUP(B13,DATOS!$I$3:$AF$138,24,FALSE))</f>
        <v>0.44000000000000006</v>
      </c>
      <c r="O13" s="30">
        <f t="shared" si="2"/>
        <v>21.120000000000005</v>
      </c>
    </row>
    <row r="14" spans="1:21" s="30" customFormat="1" ht="15" customHeight="1" x14ac:dyDescent="0.3">
      <c r="A14" s="92" t="s">
        <v>350</v>
      </c>
      <c r="B14" s="91" t="s">
        <v>301</v>
      </c>
      <c r="C14" s="34">
        <f>IF(B14="-","",VLOOKUP(B14,DATOS!$I$3:$K$200,2,FALSE))</f>
        <v>2040</v>
      </c>
      <c r="D14" s="35" t="str">
        <f>IF(B14="-","",CONCATENATE(VLOOKUP(C14,DATOS!$J$3:$K$200,2,FALSE)," ml"))</f>
        <v>400 ml</v>
      </c>
      <c r="E14" s="35" t="s">
        <v>8</v>
      </c>
      <c r="F14" s="36">
        <v>6</v>
      </c>
      <c r="G14" s="36">
        <f>IF(B14="-","",IF(E14="caja",VLOOKUP(B14,DATOS!$I$3:$AC$137,21,FALSE),F14))</f>
        <v>6</v>
      </c>
      <c r="H14" s="36">
        <f t="shared" si="0"/>
        <v>6</v>
      </c>
      <c r="I14" s="36">
        <f>IF(B14="-","",VLOOKUP(B14,DATOS!$I$3:$S$138,4,FALSE))</f>
        <v>0</v>
      </c>
      <c r="J14" s="64">
        <f t="shared" si="1"/>
        <v>0</v>
      </c>
      <c r="K14" s="39"/>
      <c r="M14" s="36">
        <f>IF(B14="-","",VLOOKUP(B14,DATOS!$I$3:$AF$138,24,FALSE))</f>
        <v>0.44000000000000006</v>
      </c>
      <c r="O14" s="30">
        <f t="shared" si="2"/>
        <v>2.6400000000000006</v>
      </c>
    </row>
    <row r="15" spans="1:21" s="30" customFormat="1" ht="15" customHeight="1" x14ac:dyDescent="0.3">
      <c r="A15" s="92" t="s">
        <v>348</v>
      </c>
      <c r="B15" s="91" t="s">
        <v>168</v>
      </c>
      <c r="C15" s="34" t="str">
        <f>IF(B15="-","",VLOOKUP(B15,DATOS!$I$3:$K$200,2,FALSE))</f>
        <v>2010 SF</v>
      </c>
      <c r="D15" s="35" t="str">
        <f>IF(B15="-","",CONCATENATE(VLOOKUP(C15,DATOS!$J$3:$K$200,2,FALSE)," ml"))</f>
        <v>300 ml</v>
      </c>
      <c r="E15" s="35" t="s">
        <v>8</v>
      </c>
      <c r="F15" s="36">
        <v>6</v>
      </c>
      <c r="G15" s="36">
        <f>IF(B15="-","",IF(E15="caja",VLOOKUP(B15,DATOS!$I$3:$AC$137,21,FALSE),F15))</f>
        <v>6</v>
      </c>
      <c r="H15" s="36">
        <f t="shared" si="0"/>
        <v>6</v>
      </c>
      <c r="I15" s="36">
        <f>IF(B15="-","",VLOOKUP(B15,DATOS!$I$3:$S$138,4,FALSE))</f>
        <v>2.95</v>
      </c>
      <c r="J15" s="64">
        <f t="shared" si="1"/>
        <v>17.700000000000003</v>
      </c>
      <c r="K15" s="39"/>
      <c r="M15" s="36">
        <f>IF(B15="-","",VLOOKUP(B15,DATOS!$I$3:$AF$138,24,FALSE))</f>
        <v>0.33</v>
      </c>
      <c r="N15" s="30" t="s">
        <v>18</v>
      </c>
      <c r="O15" s="30">
        <f t="shared" si="2"/>
        <v>1.98</v>
      </c>
    </row>
    <row r="16" spans="1:21" s="30" customFormat="1" ht="15" customHeight="1" x14ac:dyDescent="0.3">
      <c r="A16" s="92" t="s">
        <v>348</v>
      </c>
      <c r="B16" s="91" t="s">
        <v>168</v>
      </c>
      <c r="C16" s="34" t="str">
        <f>IF(B16="-","",VLOOKUP(B16,DATOS!$I$3:$K$200,2,FALSE))</f>
        <v>2010 SF</v>
      </c>
      <c r="D16" s="35" t="str">
        <f>IF(B16="-","",CONCATENATE(VLOOKUP(C16,DATOS!$J$3:$K$200,2,FALSE)," ml"))</f>
        <v>300 ml</v>
      </c>
      <c r="E16" s="35" t="s">
        <v>8</v>
      </c>
      <c r="F16" s="36">
        <v>6</v>
      </c>
      <c r="G16" s="36">
        <f>IF(B16="-","",IF(E16="caja",VLOOKUP(B16,DATOS!$I$3:$AC$137,21,FALSE),F16))</f>
        <v>6</v>
      </c>
      <c r="H16" s="36">
        <f t="shared" si="0"/>
        <v>6</v>
      </c>
      <c r="I16" s="36">
        <f>IF(B16="-","",VLOOKUP(B16,DATOS!$I$3:$S$138,4,FALSE))</f>
        <v>2.95</v>
      </c>
      <c r="J16" s="64">
        <f t="shared" si="1"/>
        <v>17.700000000000003</v>
      </c>
      <c r="K16" s="39"/>
      <c r="M16" s="36">
        <f>IF(B16="-","",VLOOKUP(B16,DATOS!$I$3:$AF$138,24,FALSE))</f>
        <v>0.33</v>
      </c>
      <c r="O16" s="30">
        <f t="shared" si="2"/>
        <v>1.98</v>
      </c>
    </row>
    <row r="17" spans="1:15" s="30" customFormat="1" ht="15" customHeight="1" x14ac:dyDescent="0.3">
      <c r="A17" s="92" t="s">
        <v>348</v>
      </c>
      <c r="B17" s="91" t="s">
        <v>168</v>
      </c>
      <c r="C17" s="34" t="str">
        <f>IF(B17="-","",VLOOKUP(B17,DATOS!$I$3:$K$200,2,FALSE))</f>
        <v>2010 SF</v>
      </c>
      <c r="D17" s="35" t="str">
        <f>IF(B17="-","",CONCATENATE(VLOOKUP(C17,DATOS!$J$3:$K$200,2,FALSE)," ml"))</f>
        <v>300 ml</v>
      </c>
      <c r="E17" s="35" t="s">
        <v>8</v>
      </c>
      <c r="F17" s="36">
        <v>2</v>
      </c>
      <c r="G17" s="36">
        <f>IF(B17="-","",IF(E17="caja",VLOOKUP(B17,DATOS!$I$3:$AC$137,21,FALSE),F17))</f>
        <v>2</v>
      </c>
      <c r="H17" s="36">
        <f t="shared" si="0"/>
        <v>2</v>
      </c>
      <c r="I17" s="36">
        <f>IF(B17="-","",VLOOKUP(B17,DATOS!$I$3:$S$138,4,FALSE))</f>
        <v>2.95</v>
      </c>
      <c r="J17" s="64">
        <f t="shared" si="1"/>
        <v>5.9</v>
      </c>
      <c r="K17" s="39"/>
      <c r="M17" s="36">
        <f>IF(B17="-","",VLOOKUP(B17,DATOS!$I$3:$AF$138,24,FALSE))</f>
        <v>0.33</v>
      </c>
      <c r="N17" s="30" t="s">
        <v>18</v>
      </c>
      <c r="O17" s="30">
        <f t="shared" si="2"/>
        <v>0.66</v>
      </c>
    </row>
    <row r="18" spans="1:15" s="30" customFormat="1" ht="15" customHeight="1" x14ac:dyDescent="0.3">
      <c r="A18" s="92" t="s">
        <v>348</v>
      </c>
      <c r="B18" s="91" t="s">
        <v>168</v>
      </c>
      <c r="C18" s="34" t="str">
        <f>IF(B18="-","",VLOOKUP(B18,DATOS!$I$3:$K$200,2,FALSE))</f>
        <v>2010 SF</v>
      </c>
      <c r="D18" s="35" t="str">
        <f>IF(B18="-","",CONCATENATE(VLOOKUP(C18,DATOS!$J$3:$K$200,2,FALSE)," ml"))</f>
        <v>300 ml</v>
      </c>
      <c r="E18" s="35" t="s">
        <v>8</v>
      </c>
      <c r="F18" s="36">
        <v>2</v>
      </c>
      <c r="G18" s="36">
        <f>IF(B18="-","",IF(E18="caja",VLOOKUP(B18,DATOS!$I$3:$AC$137,21,FALSE),F18))</f>
        <v>2</v>
      </c>
      <c r="H18" s="36">
        <f t="shared" si="0"/>
        <v>2</v>
      </c>
      <c r="I18" s="36">
        <f>IF(B18="-","",VLOOKUP(B18,DATOS!$I$3:$S$138,4,FALSE))</f>
        <v>2.95</v>
      </c>
      <c r="J18" s="64">
        <f t="shared" si="1"/>
        <v>5.9</v>
      </c>
      <c r="K18" s="39"/>
      <c r="M18" s="36">
        <f>IF(B18="-","",VLOOKUP(B18,DATOS!$I$3:$AF$138,24,FALSE))</f>
        <v>0.33</v>
      </c>
      <c r="O18" s="30">
        <f t="shared" si="2"/>
        <v>0.66</v>
      </c>
    </row>
    <row r="19" spans="1:15" s="30" customFormat="1" ht="15" customHeight="1" x14ac:dyDescent="0.3">
      <c r="A19" s="92" t="s">
        <v>348</v>
      </c>
      <c r="B19" s="91" t="s">
        <v>168</v>
      </c>
      <c r="C19" s="34" t="str">
        <f>IF(B19="-","",VLOOKUP(B19,DATOS!$I$3:$K$200,2,FALSE))</f>
        <v>2010 SF</v>
      </c>
      <c r="D19" s="35" t="str">
        <f>IF(B19="-","",CONCATENATE(VLOOKUP(C19,DATOS!$J$3:$K$200,2,FALSE)," ml"))</f>
        <v>300 ml</v>
      </c>
      <c r="E19" s="35" t="s">
        <v>18</v>
      </c>
      <c r="F19" s="36">
        <v>2</v>
      </c>
      <c r="G19" s="36">
        <f>IF(B19="-","",IF(E19="caja",VLOOKUP(B19,DATOS!$I$3:$AC$137,21,FALSE),F19))</f>
        <v>24</v>
      </c>
      <c r="H19" s="36">
        <f t="shared" si="0"/>
        <v>48</v>
      </c>
      <c r="I19" s="36">
        <f>IF(B19="-","",VLOOKUP(B19,DATOS!$I$3:$S$138,4,FALSE))</f>
        <v>2.95</v>
      </c>
      <c r="J19" s="64">
        <f t="shared" si="1"/>
        <v>141.60000000000002</v>
      </c>
      <c r="K19" s="39"/>
      <c r="M19" s="36">
        <f>IF(B19="-","",VLOOKUP(B19,DATOS!$I$3:$AF$138,24,FALSE))</f>
        <v>0.33</v>
      </c>
      <c r="N19" s="30" t="s">
        <v>18</v>
      </c>
      <c r="O19" s="30">
        <f t="shared" si="2"/>
        <v>15.84</v>
      </c>
    </row>
    <row r="20" spans="1:15" s="30" customFormat="1" ht="15" customHeight="1" x14ac:dyDescent="0.3">
      <c r="A20" s="92" t="s">
        <v>348</v>
      </c>
      <c r="B20" s="91" t="s">
        <v>168</v>
      </c>
      <c r="C20" s="34" t="str">
        <f>IF(B20="-","",VLOOKUP(B20,DATOS!$I$3:$K$200,2,FALSE))</f>
        <v>2010 SF</v>
      </c>
      <c r="D20" s="35" t="str">
        <f>IF(B20="-","",CONCATENATE(VLOOKUP(C20,DATOS!$J$3:$K$200,2,FALSE)," ml"))</f>
        <v>300 ml</v>
      </c>
      <c r="E20" s="35" t="s">
        <v>18</v>
      </c>
      <c r="F20" s="36">
        <v>1</v>
      </c>
      <c r="G20" s="36">
        <f>IF(B20="-","",IF(E20="caja",VLOOKUP(B20,DATOS!$I$3:$AC$137,21,FALSE),F20))</f>
        <v>24</v>
      </c>
      <c r="H20" s="36">
        <f t="shared" si="0"/>
        <v>24</v>
      </c>
      <c r="I20" s="36">
        <f>IF(B20="-","",VLOOKUP(B20,DATOS!$I$3:$S$138,4,FALSE))</f>
        <v>2.95</v>
      </c>
      <c r="J20" s="64">
        <f t="shared" si="1"/>
        <v>70.800000000000011</v>
      </c>
      <c r="K20" s="39"/>
      <c r="M20" s="36">
        <f>IF(B20="-","",VLOOKUP(B20,DATOS!$I$3:$AF$138,24,FALSE))</f>
        <v>0.33</v>
      </c>
      <c r="O20" s="30">
        <f t="shared" si="2"/>
        <v>7.92</v>
      </c>
    </row>
    <row r="21" spans="1:15" s="30" customFormat="1" ht="15" customHeight="1" x14ac:dyDescent="0.3">
      <c r="A21" s="92" t="s">
        <v>348</v>
      </c>
      <c r="B21" s="91" t="s">
        <v>168</v>
      </c>
      <c r="C21" s="34" t="str">
        <f>IF(B21="-","",VLOOKUP(B21,DATOS!$I$3:$K$200,2,FALSE))</f>
        <v>2010 SF</v>
      </c>
      <c r="D21" s="35" t="str">
        <f>IF(B21="-","",CONCATENATE(VLOOKUP(C21,DATOS!$J$3:$K$200,2,FALSE)," ml"))</f>
        <v>300 ml</v>
      </c>
      <c r="E21" s="35" t="s">
        <v>8</v>
      </c>
      <c r="F21" s="36">
        <v>12</v>
      </c>
      <c r="G21" s="36">
        <f>IF(B21="-","",IF(E21="caja",VLOOKUP(B21,DATOS!$I$3:$AC$137,21,FALSE),F21))</f>
        <v>12</v>
      </c>
      <c r="H21" s="36">
        <f t="shared" si="0"/>
        <v>12</v>
      </c>
      <c r="I21" s="36">
        <f>IF(B21="-","",VLOOKUP(B21,DATOS!$I$3:$S$138,4,FALSE))</f>
        <v>2.95</v>
      </c>
      <c r="J21" s="64">
        <f t="shared" si="1"/>
        <v>35.400000000000006</v>
      </c>
      <c r="K21" s="39"/>
      <c r="M21" s="36">
        <f>IF(B21="-","",VLOOKUP(B21,DATOS!$I$3:$AF$138,24,FALSE))</f>
        <v>0.33</v>
      </c>
      <c r="N21" s="30" t="s">
        <v>18</v>
      </c>
      <c r="O21" s="30">
        <f t="shared" si="2"/>
        <v>3.96</v>
      </c>
    </row>
    <row r="22" spans="1:15" s="30" customFormat="1" ht="15" customHeight="1" x14ac:dyDescent="0.3">
      <c r="A22" s="92" t="s">
        <v>348</v>
      </c>
      <c r="B22" s="91" t="s">
        <v>168</v>
      </c>
      <c r="C22" s="34" t="str">
        <f>IF(B22="-","",VLOOKUP(B22,DATOS!$I$3:$K$200,2,FALSE))</f>
        <v>2010 SF</v>
      </c>
      <c r="D22" s="35" t="str">
        <f>IF(B22="-","",CONCATENATE(VLOOKUP(C22,DATOS!$J$3:$K$200,2,FALSE)," ml"))</f>
        <v>300 ml</v>
      </c>
      <c r="E22" s="35" t="s">
        <v>8</v>
      </c>
      <c r="F22" s="36">
        <v>6</v>
      </c>
      <c r="G22" s="36">
        <f>IF(B22="-","",IF(E22="caja",VLOOKUP(B22,DATOS!$I$3:$AC$137,21,FALSE),F22))</f>
        <v>6</v>
      </c>
      <c r="H22" s="36">
        <f t="shared" si="0"/>
        <v>6</v>
      </c>
      <c r="I22" s="36">
        <f>IF(B22="-","",VLOOKUP(B22,DATOS!$I$3:$S$138,4,FALSE))</f>
        <v>2.95</v>
      </c>
      <c r="J22" s="64">
        <f t="shared" si="1"/>
        <v>17.700000000000003</v>
      </c>
      <c r="K22" s="39"/>
      <c r="M22" s="36">
        <f>IF(B22="-","",VLOOKUP(B22,DATOS!$I$3:$AF$138,24,FALSE))</f>
        <v>0.33</v>
      </c>
      <c r="O22" s="30">
        <f t="shared" si="2"/>
        <v>1.98</v>
      </c>
    </row>
    <row r="23" spans="1:15" s="30" customFormat="1" ht="15" customHeight="1" x14ac:dyDescent="0.3">
      <c r="A23" s="92" t="s">
        <v>348</v>
      </c>
      <c r="B23" s="91" t="s">
        <v>168</v>
      </c>
      <c r="C23" s="34" t="str">
        <f>IF(B23="-","",VLOOKUP(B23,DATOS!$I$3:$K$200,2,FALSE))</f>
        <v>2010 SF</v>
      </c>
      <c r="D23" s="35" t="str">
        <f>IF(B23="-","",CONCATENATE(VLOOKUP(C23,DATOS!$J$3:$K$200,2,FALSE)," ml"))</f>
        <v>300 ml</v>
      </c>
      <c r="E23" s="35" t="s">
        <v>8</v>
      </c>
      <c r="F23" s="36">
        <v>2</v>
      </c>
      <c r="G23" s="36">
        <f>IF(B23="-","",IF(E23="caja",VLOOKUP(B23,DATOS!$I$3:$AC$137,21,FALSE),F23))</f>
        <v>2</v>
      </c>
      <c r="H23" s="36">
        <f t="shared" si="0"/>
        <v>2</v>
      </c>
      <c r="I23" s="36">
        <f>IF(B23="-","",VLOOKUP(B23,DATOS!$I$3:$S$138,4,FALSE))</f>
        <v>2.95</v>
      </c>
      <c r="J23" s="64">
        <f t="shared" si="1"/>
        <v>5.9</v>
      </c>
      <c r="K23" s="39"/>
      <c r="M23" s="36">
        <f>IF(B23="-","",VLOOKUP(B23,DATOS!$I$3:$AF$138,24,FALSE))</f>
        <v>0.33</v>
      </c>
      <c r="O23" s="30">
        <f t="shared" si="2"/>
        <v>0.66</v>
      </c>
    </row>
    <row r="24" spans="1:15" s="30" customFormat="1" ht="15" customHeight="1" x14ac:dyDescent="0.3">
      <c r="A24" s="92" t="s">
        <v>348</v>
      </c>
      <c r="B24" s="91" t="s">
        <v>168</v>
      </c>
      <c r="C24" s="34" t="str">
        <f>IF(B24="-","",VLOOKUP(B24,DATOS!$I$3:$K$200,2,FALSE))</f>
        <v>2010 SF</v>
      </c>
      <c r="D24" s="35" t="str">
        <f>IF(B24="-","",CONCATENATE(VLOOKUP(C24,DATOS!$J$3:$K$200,2,FALSE)," ml"))</f>
        <v>300 ml</v>
      </c>
      <c r="E24" s="35" t="s">
        <v>8</v>
      </c>
      <c r="F24" s="36">
        <v>6</v>
      </c>
      <c r="G24" s="36">
        <f>IF(B24="-","",IF(E24="caja",VLOOKUP(B24,DATOS!$I$3:$AC$137,21,FALSE),F24))</f>
        <v>6</v>
      </c>
      <c r="H24" s="36">
        <f t="shared" si="0"/>
        <v>6</v>
      </c>
      <c r="I24" s="36">
        <f>IF(B24="-","",VLOOKUP(B24,DATOS!$I$3:$S$138,4,FALSE))</f>
        <v>2.95</v>
      </c>
      <c r="J24" s="64">
        <f t="shared" si="1"/>
        <v>17.700000000000003</v>
      </c>
      <c r="K24" s="39"/>
      <c r="M24" s="36">
        <f>IF(B24="-","",VLOOKUP(B24,DATOS!$I$3:$AF$138,24,FALSE))</f>
        <v>0.33</v>
      </c>
      <c r="N24" s="30" t="s">
        <v>18</v>
      </c>
      <c r="O24" s="30">
        <f t="shared" si="2"/>
        <v>1.98</v>
      </c>
    </row>
    <row r="25" spans="1:15" s="30" customFormat="1" ht="15" customHeight="1" x14ac:dyDescent="0.3">
      <c r="A25" s="92" t="s">
        <v>348</v>
      </c>
      <c r="B25" s="91" t="s">
        <v>168</v>
      </c>
      <c r="C25" s="34" t="str">
        <f>IF(B25="-","",VLOOKUP(B25,DATOS!$I$3:$K$200,2,FALSE))</f>
        <v>2010 SF</v>
      </c>
      <c r="D25" s="35" t="str">
        <f>IF(B25="-","",CONCATENATE(VLOOKUP(C25,DATOS!$J$3:$K$200,2,FALSE)," ml"))</f>
        <v>300 ml</v>
      </c>
      <c r="E25" s="35" t="s">
        <v>18</v>
      </c>
      <c r="F25" s="36">
        <v>1</v>
      </c>
      <c r="G25" s="36">
        <f>IF(B25="-","",IF(E25="caja",VLOOKUP(B25,DATOS!$I$3:$AC$137,21,FALSE),F25))</f>
        <v>24</v>
      </c>
      <c r="H25" s="36">
        <f t="shared" si="0"/>
        <v>24</v>
      </c>
      <c r="I25" s="36">
        <f>IF(B25="-","",VLOOKUP(B25,DATOS!$I$3:$S$138,4,FALSE))</f>
        <v>2.95</v>
      </c>
      <c r="J25" s="64">
        <f t="shared" si="1"/>
        <v>70.800000000000011</v>
      </c>
      <c r="K25" s="39"/>
      <c r="M25" s="36">
        <f>IF(B25="-","",VLOOKUP(B25,DATOS!$I$3:$AF$138,24,FALSE))</f>
        <v>0.33</v>
      </c>
      <c r="O25" s="30">
        <f t="shared" si="2"/>
        <v>7.92</v>
      </c>
    </row>
    <row r="26" spans="1:15" s="30" customFormat="1" ht="15" customHeight="1" x14ac:dyDescent="0.3">
      <c r="A26" s="92" t="s">
        <v>348</v>
      </c>
      <c r="B26" s="91" t="s">
        <v>168</v>
      </c>
      <c r="C26" s="34" t="str">
        <f>IF(B26="-","",VLOOKUP(B26,DATOS!$I$3:$K$200,2,FALSE))</f>
        <v>2010 SF</v>
      </c>
      <c r="D26" s="35" t="str">
        <f>IF(B26="-","",CONCATENATE(VLOOKUP(C26,DATOS!$J$3:$K$200,2,FALSE)," ml"))</f>
        <v>300 ml</v>
      </c>
      <c r="E26" s="35" t="s">
        <v>8</v>
      </c>
      <c r="F26" s="36">
        <v>4</v>
      </c>
      <c r="G26" s="36">
        <f>IF(B26="-","",IF(E26="caja",VLOOKUP(B26,DATOS!$I$3:$AC$137,21,FALSE),F26))</f>
        <v>4</v>
      </c>
      <c r="H26" s="36">
        <f t="shared" si="0"/>
        <v>4</v>
      </c>
      <c r="I26" s="36">
        <f>IF(B26="-","",VLOOKUP(B26,DATOS!$I$3:$S$138,4,FALSE))</f>
        <v>2.95</v>
      </c>
      <c r="J26" s="64">
        <f t="shared" si="1"/>
        <v>11.8</v>
      </c>
      <c r="K26" s="39"/>
      <c r="M26" s="36">
        <f>IF(B26="-","",VLOOKUP(B26,DATOS!$I$3:$AF$138,24,FALSE))</f>
        <v>0.33</v>
      </c>
      <c r="O26" s="30">
        <f t="shared" si="2"/>
        <v>1.32</v>
      </c>
    </row>
    <row r="27" spans="1:15" s="30" customFormat="1" ht="15" customHeight="1" x14ac:dyDescent="0.3">
      <c r="A27" s="92" t="s">
        <v>348</v>
      </c>
      <c r="B27" s="91" t="s">
        <v>168</v>
      </c>
      <c r="C27" s="34" t="str">
        <f>IF(B27="-","",VLOOKUP(B27,DATOS!$I$3:$K$200,2,FALSE))</f>
        <v>2010 SF</v>
      </c>
      <c r="D27" s="35" t="str">
        <f>IF(B27="-","",CONCATENATE(VLOOKUP(C27,DATOS!$J$3:$K$200,2,FALSE)," ml"))</f>
        <v>300 ml</v>
      </c>
      <c r="E27" s="35" t="s">
        <v>8</v>
      </c>
      <c r="F27" s="36">
        <v>6</v>
      </c>
      <c r="G27" s="36">
        <f>IF(B27="-","",IF(E27="caja",VLOOKUP(B27,DATOS!$I$3:$AC$137,21,FALSE),F27))</f>
        <v>6</v>
      </c>
      <c r="H27" s="36">
        <f t="shared" si="0"/>
        <v>6</v>
      </c>
      <c r="I27" s="36">
        <f>IF(B27="-","",VLOOKUP(B27,DATOS!$I$3:$S$138,4,FALSE))</f>
        <v>2.95</v>
      </c>
      <c r="J27" s="64">
        <f t="shared" si="1"/>
        <v>17.700000000000003</v>
      </c>
      <c r="K27" s="39"/>
      <c r="M27" s="36">
        <f>IF(B27="-","",VLOOKUP(B27,DATOS!$I$3:$AF$138,24,FALSE))</f>
        <v>0.33</v>
      </c>
      <c r="O27" s="30">
        <f t="shared" si="2"/>
        <v>1.98</v>
      </c>
    </row>
    <row r="28" spans="1:15" s="30" customFormat="1" ht="15" customHeight="1" x14ac:dyDescent="0.3">
      <c r="A28" s="92" t="s">
        <v>348</v>
      </c>
      <c r="B28" s="91" t="s">
        <v>168</v>
      </c>
      <c r="C28" s="34" t="str">
        <f>IF(B28="-","",VLOOKUP(B28,DATOS!$I$3:$K$200,2,FALSE))</f>
        <v>2010 SF</v>
      </c>
      <c r="D28" s="35" t="str">
        <f>IF(B28="-","",CONCATENATE(VLOOKUP(C28,DATOS!$J$3:$K$200,2,FALSE)," ml"))</f>
        <v>300 ml</v>
      </c>
      <c r="E28" s="35" t="s">
        <v>18</v>
      </c>
      <c r="F28" s="36">
        <v>1</v>
      </c>
      <c r="G28" s="36">
        <f>IF(B28="-","",IF(E28="caja",VLOOKUP(B28,DATOS!$I$3:$AC$137,21,FALSE),F28))</f>
        <v>24</v>
      </c>
      <c r="H28" s="36">
        <f t="shared" si="0"/>
        <v>24</v>
      </c>
      <c r="I28" s="36">
        <f>IF(B28="-","",VLOOKUP(B28,DATOS!$I$3:$S$138,4,FALSE))</f>
        <v>2.95</v>
      </c>
      <c r="J28" s="64">
        <f t="shared" si="1"/>
        <v>70.800000000000011</v>
      </c>
      <c r="K28" s="39"/>
      <c r="M28" s="36">
        <f>IF(B28="-","",VLOOKUP(B28,DATOS!$I$3:$AF$138,24,FALSE))</f>
        <v>0.33</v>
      </c>
      <c r="O28" s="30">
        <f t="shared" si="2"/>
        <v>7.92</v>
      </c>
    </row>
    <row r="29" spans="1:15" s="30" customFormat="1" ht="15" customHeight="1" thickBot="1" x14ac:dyDescent="0.35">
      <c r="A29" s="92" t="s">
        <v>348</v>
      </c>
      <c r="B29" s="91" t="s">
        <v>168</v>
      </c>
      <c r="C29" s="65" t="str">
        <f>IF(B29="-","",VLOOKUP(B29,DATOS!$I$3:$K$200,2,FALSE))</f>
        <v>2010 SF</v>
      </c>
      <c r="D29" s="66" t="str">
        <f>IF(B29="-","",CONCATENATE(VLOOKUP(C29,DATOS!$J$3:$K$200,2,FALSE)," ml"))</f>
        <v>300 ml</v>
      </c>
      <c r="E29" s="66" t="s">
        <v>8</v>
      </c>
      <c r="F29" s="67">
        <v>2</v>
      </c>
      <c r="G29" s="67">
        <f>IF(B29="-","",IF(E29="caja",VLOOKUP(B29,DATOS!$I$3:$AC$137,21,FALSE),F29))</f>
        <v>2</v>
      </c>
      <c r="H29" s="67">
        <f t="shared" si="0"/>
        <v>2</v>
      </c>
      <c r="I29" s="67">
        <f>IF(B29="-","",VLOOKUP(B29,DATOS!$I$3:$S$138,4,FALSE))</f>
        <v>2.95</v>
      </c>
      <c r="J29" s="68">
        <f t="shared" si="1"/>
        <v>5.9</v>
      </c>
      <c r="K29" s="39"/>
      <c r="M29" s="36">
        <f>IF(B29="-","",VLOOKUP(B29,DATOS!$I$3:$AF$138,24,FALSE))</f>
        <v>0.33</v>
      </c>
      <c r="N29" s="30" t="s">
        <v>18</v>
      </c>
      <c r="O29" s="30">
        <f t="shared" si="2"/>
        <v>0.66</v>
      </c>
    </row>
    <row r="30" spans="1:15" s="30" customFormat="1" ht="19.95" customHeight="1" thickBot="1" x14ac:dyDescent="0.35">
      <c r="B30" s="31"/>
      <c r="C30" s="31"/>
      <c r="D30" s="31"/>
      <c r="E30" s="31"/>
      <c r="F30" s="31"/>
      <c r="G30" s="31"/>
      <c r="H30" s="31"/>
      <c r="I30" s="90" t="s">
        <v>321</v>
      </c>
      <c r="J30" s="69">
        <f>SUM(J10:J29)</f>
        <v>1042.5000000000002</v>
      </c>
      <c r="K30" s="39"/>
      <c r="M30" s="36"/>
    </row>
    <row r="31" spans="1:15" s="30" customFormat="1" ht="19.95" customHeight="1" thickBot="1" x14ac:dyDescent="0.35">
      <c r="B31" s="31"/>
      <c r="C31" s="31"/>
      <c r="D31" s="31"/>
      <c r="E31" s="31"/>
      <c r="F31" s="31"/>
      <c r="G31" s="31"/>
      <c r="H31" s="31"/>
    </row>
    <row r="32" spans="1:15" s="31" customFormat="1" ht="24.9" customHeight="1" thickBot="1" x14ac:dyDescent="0.35">
      <c r="B32" s="94" t="s">
        <v>247</v>
      </c>
      <c r="C32" s="95"/>
      <c r="D32" s="95"/>
      <c r="E32" s="95"/>
      <c r="F32" s="95"/>
      <c r="G32" s="95"/>
      <c r="H32" s="96"/>
      <c r="I32" s="75" t="s">
        <v>253</v>
      </c>
      <c r="J32" s="76" t="str">
        <f>J8</f>
        <v>2025-0001</v>
      </c>
      <c r="K32" s="49"/>
    </row>
    <row r="33" spans="1:15" s="31" customFormat="1" ht="15" customHeight="1" x14ac:dyDescent="0.3">
      <c r="B33" s="78" t="s">
        <v>4</v>
      </c>
      <c r="C33" s="79" t="s">
        <v>261</v>
      </c>
      <c r="D33" s="79" t="s">
        <v>250</v>
      </c>
      <c r="E33" s="79" t="s">
        <v>1</v>
      </c>
      <c r="F33" s="79" t="s">
        <v>251</v>
      </c>
      <c r="G33" s="79"/>
      <c r="H33" s="79" t="s">
        <v>2</v>
      </c>
      <c r="I33" s="79" t="s">
        <v>262</v>
      </c>
      <c r="J33" s="80" t="s">
        <v>273</v>
      </c>
      <c r="K33" s="49"/>
    </row>
    <row r="34" spans="1:15" s="30" customFormat="1" ht="15" customHeight="1" x14ac:dyDescent="0.3">
      <c r="A34" s="92" t="s">
        <v>348</v>
      </c>
      <c r="B34" s="63" t="s">
        <v>287</v>
      </c>
      <c r="C34" s="71">
        <f>IF(B34="-","",VLOOKUP(B34,DATOS!$I$3:$K$200,2,FALSE))</f>
        <v>7050250</v>
      </c>
      <c r="D34" s="72" t="str">
        <f>IF(B34="-","",CONCATENATE(VLOOKUP(C34,DATOS!$J$3:$K$200,2,FALSE)," ml"))</f>
        <v>250 ml</v>
      </c>
      <c r="E34" s="72" t="s">
        <v>8</v>
      </c>
      <c r="F34" s="73">
        <v>2</v>
      </c>
      <c r="G34" s="73">
        <f>IF(B34="-","",IF(E34="caja",VLOOKUP(B34,DATOS!$I$3:$AC$137,21,FALSE),F34))</f>
        <v>2</v>
      </c>
      <c r="H34" s="73">
        <f t="shared" ref="H34:H61" si="3">IF(B34="-","",IF(E34="caja",F34*G34,F34))</f>
        <v>2</v>
      </c>
      <c r="I34" s="73">
        <f>IF(B34="-","",VLOOKUP(B34,DATOS!$I$3:$S$138,4,FALSE))</f>
        <v>12.9</v>
      </c>
      <c r="J34" s="74">
        <f t="shared" ref="J34:J61" si="4">IF(B34="-","",H34*I34)</f>
        <v>25.8</v>
      </c>
      <c r="K34" s="39"/>
      <c r="M34" s="36">
        <f>IF(B34="-","",VLOOKUP(B34,DATOS!$I$3:$AF$138,24,FALSE))</f>
        <v>0.27500000000000002</v>
      </c>
      <c r="N34" s="30" t="s">
        <v>18</v>
      </c>
      <c r="O34" s="30">
        <f>IF(H34="",0,M34*H34)</f>
        <v>0.55000000000000004</v>
      </c>
    </row>
    <row r="35" spans="1:15" s="30" customFormat="1" ht="15" customHeight="1" x14ac:dyDescent="0.3">
      <c r="A35" s="92" t="s">
        <v>342</v>
      </c>
      <c r="B35" s="63" t="s">
        <v>328</v>
      </c>
      <c r="C35" s="34">
        <f>IF(B35="-","",VLOOKUP(B35,DATOS!$I$3:$K$200,2,FALSE))</f>
        <v>7035001</v>
      </c>
      <c r="D35" s="35" t="str">
        <f>IF(B35="-","",CONCATENATE(VLOOKUP(C35,DATOS!$J$3:$K$200,2,FALSE)," ml"))</f>
        <v>1000 ml</v>
      </c>
      <c r="E35" s="35" t="s">
        <v>8</v>
      </c>
      <c r="F35" s="36">
        <v>2</v>
      </c>
      <c r="G35" s="36">
        <f>IF(B35="-","",IF(E35="caja",VLOOKUP(B35,DATOS!$I$3:$AC$137,21,FALSE),F35))</f>
        <v>2</v>
      </c>
      <c r="H35" s="36">
        <f t="shared" si="3"/>
        <v>2</v>
      </c>
      <c r="I35" s="36">
        <f>IF(B35="-","",VLOOKUP(B35,DATOS!$I$3:$S$138,4,FALSE))</f>
        <v>13.85</v>
      </c>
      <c r="J35" s="64">
        <f t="shared" si="4"/>
        <v>27.7</v>
      </c>
      <c r="K35" s="39"/>
      <c r="M35" s="36">
        <f>IF(B35="-","",VLOOKUP(B35,DATOS!$I$3:$AF$138,24,FALSE))</f>
        <v>1.1000000000000001</v>
      </c>
      <c r="N35" s="30" t="s">
        <v>18</v>
      </c>
      <c r="O35" s="30">
        <f t="shared" ref="O35:O61" si="5">IF(H35="",0,M35*H35)</f>
        <v>2.2000000000000002</v>
      </c>
    </row>
    <row r="36" spans="1:15" s="30" customFormat="1" ht="15" customHeight="1" x14ac:dyDescent="0.3">
      <c r="A36" s="92" t="s">
        <v>343</v>
      </c>
      <c r="B36" s="63" t="s">
        <v>197</v>
      </c>
      <c r="C36" s="34">
        <f>IF(B36="-","",VLOOKUP(B36,DATOS!$I$3:$K$200,2,FALSE))</f>
        <v>2030</v>
      </c>
      <c r="D36" s="35" t="str">
        <f>IF(B36="-","",CONCATENATE(VLOOKUP(C36,DATOS!$J$3:$K$200,2,FALSE)," ml"))</f>
        <v>500 ml</v>
      </c>
      <c r="E36" s="35" t="s">
        <v>18</v>
      </c>
      <c r="F36" s="36">
        <v>2</v>
      </c>
      <c r="G36" s="36">
        <f>IF(B36="-","",IF(E36="caja",VLOOKUP(B36,DATOS!$I$3:$AC$137,21,FALSE),F36))</f>
        <v>24</v>
      </c>
      <c r="H36" s="36">
        <f t="shared" si="3"/>
        <v>48</v>
      </c>
      <c r="I36" s="36">
        <f>IF(B36="-","",VLOOKUP(B36,DATOS!$I$3:$S$138,4,FALSE))</f>
        <v>3.65</v>
      </c>
      <c r="J36" s="64">
        <f t="shared" si="4"/>
        <v>175.2</v>
      </c>
      <c r="K36" s="39"/>
      <c r="M36" s="36">
        <f>IF(B36="-","",VLOOKUP(B36,DATOS!$I$3:$AF$138,24,FALSE))</f>
        <v>0.55000000000000004</v>
      </c>
      <c r="N36" s="30" t="s">
        <v>18</v>
      </c>
      <c r="O36" s="30">
        <f t="shared" si="5"/>
        <v>26.400000000000002</v>
      </c>
    </row>
    <row r="37" spans="1:15" s="30" customFormat="1" ht="15" customHeight="1" x14ac:dyDescent="0.3">
      <c r="A37" s="92" t="s">
        <v>347</v>
      </c>
      <c r="B37" s="63" t="s">
        <v>198</v>
      </c>
      <c r="C37" s="34">
        <f>IF(B37="-","",VLOOKUP(B37,DATOS!$I$3:$K$200,2,FALSE))</f>
        <v>2130</v>
      </c>
      <c r="D37" s="35" t="str">
        <f>IF(B37="-","",CONCATENATE(VLOOKUP(C37,DATOS!$J$3:$K$200,2,FALSE)," ml"))</f>
        <v>400 ml</v>
      </c>
      <c r="E37" s="35" t="s">
        <v>8</v>
      </c>
      <c r="F37" s="36">
        <v>2</v>
      </c>
      <c r="G37" s="36">
        <f>IF(B37="-","",IF(E37="caja",VLOOKUP(B37,DATOS!$I$3:$AC$137,21,FALSE),F37))</f>
        <v>2</v>
      </c>
      <c r="H37" s="36">
        <f t="shared" si="3"/>
        <v>2</v>
      </c>
      <c r="I37" s="36">
        <f>IF(B37="-","",VLOOKUP(B37,DATOS!$I$3:$S$138,4,FALSE))</f>
        <v>3.95</v>
      </c>
      <c r="J37" s="64">
        <f t="shared" si="4"/>
        <v>7.9</v>
      </c>
      <c r="K37" s="39"/>
      <c r="M37" s="36">
        <f>IF(B37="-","",VLOOKUP(B37,DATOS!$I$3:$AF$138,24,FALSE))</f>
        <v>0.44000000000000006</v>
      </c>
      <c r="N37" s="30" t="s">
        <v>18</v>
      </c>
      <c r="O37" s="30">
        <f t="shared" si="5"/>
        <v>0.88000000000000012</v>
      </c>
    </row>
    <row r="38" spans="1:15" s="30" customFormat="1" ht="15" customHeight="1" x14ac:dyDescent="0.3">
      <c r="A38" s="92" t="s">
        <v>350</v>
      </c>
      <c r="B38" s="63" t="s">
        <v>329</v>
      </c>
      <c r="C38" s="34">
        <f>IF(B38="-","",VLOOKUP(B38,DATOS!$I$3:$K$200,2,FALSE))</f>
        <v>2230</v>
      </c>
      <c r="D38" s="35" t="str">
        <f>IF(B38="-","",CONCATENATE(VLOOKUP(C38,DATOS!$J$3:$K$200,2,FALSE)," ml"))</f>
        <v>400 ml</v>
      </c>
      <c r="E38" s="35" t="s">
        <v>8</v>
      </c>
      <c r="F38" s="36">
        <v>4</v>
      </c>
      <c r="G38" s="36">
        <f>IF(B38="-","",IF(E38="caja",VLOOKUP(B38,DATOS!$I$3:$AC$137,21,FALSE),F38))</f>
        <v>4</v>
      </c>
      <c r="H38" s="36">
        <f t="shared" si="3"/>
        <v>4</v>
      </c>
      <c r="I38" s="36">
        <f>IF(B38="-","",VLOOKUP(B38,DATOS!$I$3:$S$138,4,FALSE))</f>
        <v>6.5</v>
      </c>
      <c r="J38" s="64">
        <f t="shared" si="4"/>
        <v>26</v>
      </c>
      <c r="K38" s="39"/>
      <c r="M38" s="36">
        <f>IF(B38="-","",VLOOKUP(B38,DATOS!$I$3:$AF$138,24,FALSE))</f>
        <v>0.44000000000000006</v>
      </c>
      <c r="N38" s="30" t="s">
        <v>18</v>
      </c>
      <c r="O38" s="30">
        <f t="shared" si="5"/>
        <v>1.7600000000000002</v>
      </c>
    </row>
    <row r="39" spans="1:15" s="30" customFormat="1" ht="15" customHeight="1" x14ac:dyDescent="0.3">
      <c r="A39" s="92" t="s">
        <v>348</v>
      </c>
      <c r="B39" s="63" t="s">
        <v>200</v>
      </c>
      <c r="C39" s="34">
        <f>IF(B39="-","",VLOOKUP(B39,DATOS!$I$3:$K$200,2,FALSE))</f>
        <v>2031</v>
      </c>
      <c r="D39" s="35" t="str">
        <f>IF(B39="-","",CONCATENATE(VLOOKUP(C39,DATOS!$J$3:$K$200,2,FALSE)," ml"))</f>
        <v>400 ml</v>
      </c>
      <c r="E39" s="35" t="s">
        <v>8</v>
      </c>
      <c r="F39" s="36">
        <v>4</v>
      </c>
      <c r="G39" s="36">
        <f>IF(B39="-","",IF(E39="caja",VLOOKUP(B39,DATOS!$I$3:$AC$137,21,FALSE),F39))</f>
        <v>4</v>
      </c>
      <c r="H39" s="36">
        <f t="shared" si="3"/>
        <v>4</v>
      </c>
      <c r="I39" s="36">
        <f>IF(B39="-","",VLOOKUP(B39,DATOS!$I$3:$S$138,4,FALSE))</f>
        <v>3.5</v>
      </c>
      <c r="J39" s="64">
        <f t="shared" si="4"/>
        <v>14</v>
      </c>
      <c r="K39" s="39"/>
      <c r="M39" s="36">
        <f>IF(B39="-","",VLOOKUP(B39,DATOS!$I$3:$AF$138,24,FALSE))</f>
        <v>0.44000000000000006</v>
      </c>
      <c r="N39" s="30" t="s">
        <v>18</v>
      </c>
      <c r="O39" s="30">
        <f t="shared" si="5"/>
        <v>1.7600000000000002</v>
      </c>
    </row>
    <row r="40" spans="1:15" s="30" customFormat="1" ht="15" customHeight="1" x14ac:dyDescent="0.3">
      <c r="A40" s="92" t="s">
        <v>348</v>
      </c>
      <c r="B40" s="63" t="s">
        <v>289</v>
      </c>
      <c r="C40" s="34" t="str">
        <f>IF(B40="-","",VLOOKUP(B40,DATOS!$I$3:$K$200,2,FALSE))</f>
        <v>2032-300</v>
      </c>
      <c r="D40" s="35" t="str">
        <f>IF(B40="-","",CONCATENATE(VLOOKUP(C40,DATOS!$J$3:$K$200,2,FALSE)," ml"))</f>
        <v>300 ml</v>
      </c>
      <c r="E40" s="35" t="s">
        <v>18</v>
      </c>
      <c r="F40" s="36">
        <v>2</v>
      </c>
      <c r="G40" s="36">
        <f>IF(B40="-","",IF(E40="caja",VLOOKUP(B40,DATOS!$I$3:$AC$137,21,FALSE),F40))</f>
        <v>24</v>
      </c>
      <c r="H40" s="36">
        <f t="shared" si="3"/>
        <v>48</v>
      </c>
      <c r="I40" s="36">
        <f>IF(B40="-","",VLOOKUP(B40,DATOS!$I$3:$S$138,4,FALSE))</f>
        <v>2.5499999999999998</v>
      </c>
      <c r="J40" s="64">
        <f t="shared" si="4"/>
        <v>122.39999999999999</v>
      </c>
      <c r="K40" s="39"/>
      <c r="M40" s="36">
        <f>IF(B40="-","",VLOOKUP(B40,DATOS!$I$3:$AF$138,24,FALSE))</f>
        <v>0.33</v>
      </c>
      <c r="N40" s="30" t="s">
        <v>18</v>
      </c>
      <c r="O40" s="30">
        <f t="shared" si="5"/>
        <v>15.84</v>
      </c>
    </row>
    <row r="41" spans="1:15" s="30" customFormat="1" ht="15" customHeight="1" x14ac:dyDescent="0.3">
      <c r="A41" s="92" t="s">
        <v>348</v>
      </c>
      <c r="B41" s="63" t="s">
        <v>201</v>
      </c>
      <c r="C41" s="34" t="str">
        <f>IF(B41="-","",VLOOKUP(B41,DATOS!$I$3:$K$200,2,FALSE))</f>
        <v>2032+</v>
      </c>
      <c r="D41" s="35" t="str">
        <f>IF(B41="-","",CONCATENATE(VLOOKUP(C41,DATOS!$J$3:$K$200,2,FALSE)," ml"))</f>
        <v>250 ml</v>
      </c>
      <c r="E41" s="35" t="s">
        <v>18</v>
      </c>
      <c r="F41" s="36">
        <v>2</v>
      </c>
      <c r="G41" s="36">
        <f>IF(B41="-","",IF(E41="caja",VLOOKUP(B41,DATOS!$I$3:$AC$137,21,FALSE),F41))</f>
        <v>24</v>
      </c>
      <c r="H41" s="36">
        <f t="shared" si="3"/>
        <v>48</v>
      </c>
      <c r="I41" s="36">
        <f>IF(B41="-","",VLOOKUP(B41,DATOS!$I$3:$S$138,4,FALSE))</f>
        <v>3.6</v>
      </c>
      <c r="J41" s="64">
        <f t="shared" si="4"/>
        <v>172.8</v>
      </c>
      <c r="K41" s="39"/>
      <c r="M41" s="36">
        <f>IF(B41="-","",VLOOKUP(B41,DATOS!$I$3:$AF$138,24,FALSE))</f>
        <v>0.27500000000000002</v>
      </c>
      <c r="N41" s="30" t="s">
        <v>18</v>
      </c>
      <c r="O41" s="30">
        <f t="shared" si="5"/>
        <v>13.200000000000001</v>
      </c>
    </row>
    <row r="42" spans="1:15" s="30" customFormat="1" ht="15" customHeight="1" x14ac:dyDescent="0.3">
      <c r="A42" s="92" t="s">
        <v>348</v>
      </c>
      <c r="B42" s="63" t="s">
        <v>291</v>
      </c>
      <c r="C42" s="34">
        <f>IF(B42="-","",VLOOKUP(B42,DATOS!$I$3:$K$200,2,FALSE))</f>
        <v>732</v>
      </c>
      <c r="D42" s="35" t="str">
        <f>IF(B42="-","",CONCATENATE(VLOOKUP(C42,DATOS!$J$3:$K$200,2,FALSE)," ml"))</f>
        <v>50 ml</v>
      </c>
      <c r="E42" s="35" t="s">
        <v>8</v>
      </c>
      <c r="F42" s="36">
        <v>20</v>
      </c>
      <c r="G42" s="36">
        <f>IF(B42="-","",IF(E42="caja",VLOOKUP(B42,DATOS!$I$3:$AC$137,21,FALSE),F42))</f>
        <v>20</v>
      </c>
      <c r="H42" s="36">
        <f t="shared" si="3"/>
        <v>20</v>
      </c>
      <c r="I42" s="36">
        <f>IF(B42="-","",VLOOKUP(B42,DATOS!$I$3:$S$138,4,FALSE))</f>
        <v>1.2</v>
      </c>
      <c r="J42" s="64">
        <f t="shared" si="4"/>
        <v>24</v>
      </c>
      <c r="K42" s="39"/>
      <c r="M42" s="36">
        <f>IF(B42="-","",VLOOKUP(B42,DATOS!$I$3:$AF$138,24,FALSE))</f>
        <v>5.5000000000000007E-2</v>
      </c>
      <c r="N42" s="30" t="s">
        <v>18</v>
      </c>
      <c r="O42" s="30">
        <f t="shared" si="5"/>
        <v>1.1000000000000001</v>
      </c>
    </row>
    <row r="43" spans="1:15" s="30" customFormat="1" ht="15" customHeight="1" x14ac:dyDescent="0.3">
      <c r="A43" s="92" t="s">
        <v>348</v>
      </c>
      <c r="B43" s="63" t="s">
        <v>294</v>
      </c>
      <c r="C43" s="34" t="str">
        <f>IF(B43="-","",VLOOKUP(B43,DATOS!$I$3:$K$200,2,FALSE))</f>
        <v>2132-300</v>
      </c>
      <c r="D43" s="35" t="str">
        <f>IF(B43="-","",CONCATENATE(VLOOKUP(C43,DATOS!$J$3:$K$200,2,FALSE)," ml"))</f>
        <v>300 ml</v>
      </c>
      <c r="E43" s="35" t="s">
        <v>18</v>
      </c>
      <c r="F43" s="36">
        <v>4</v>
      </c>
      <c r="G43" s="36">
        <f>IF(B43="-","",IF(E43="caja",VLOOKUP(B43,DATOS!$I$3:$AC$137,21,FALSE),F43))</f>
        <v>24</v>
      </c>
      <c r="H43" s="36">
        <f t="shared" si="3"/>
        <v>96</v>
      </c>
      <c r="I43" s="36">
        <f>IF(B43="-","",VLOOKUP(B43,DATOS!$I$3:$S$138,4,FALSE))</f>
        <v>3.9</v>
      </c>
      <c r="J43" s="64">
        <f t="shared" si="4"/>
        <v>374.4</v>
      </c>
      <c r="K43" s="39"/>
      <c r="M43" s="36">
        <f>IF(B43="-","",VLOOKUP(B43,DATOS!$I$3:$AF$138,24,FALSE))</f>
        <v>0.33</v>
      </c>
      <c r="N43" s="30" t="s">
        <v>18</v>
      </c>
      <c r="O43" s="30">
        <f t="shared" si="5"/>
        <v>31.68</v>
      </c>
    </row>
    <row r="44" spans="1:15" s="30" customFormat="1" ht="15" customHeight="1" x14ac:dyDescent="0.3">
      <c r="A44" s="92" t="s">
        <v>348</v>
      </c>
      <c r="B44" s="63" t="s">
        <v>203</v>
      </c>
      <c r="C44" s="34">
        <f>IF(B44="-","",VLOOKUP(B44,DATOS!$I$3:$K$200,2,FALSE))</f>
        <v>2232</v>
      </c>
      <c r="D44" s="35" t="str">
        <f>IF(B44="-","",CONCATENATE(VLOOKUP(C44,DATOS!$J$3:$K$200,2,FALSE)," ml"))</f>
        <v>500 ml</v>
      </c>
      <c r="E44" s="35" t="s">
        <v>8</v>
      </c>
      <c r="F44" s="36">
        <v>1</v>
      </c>
      <c r="G44" s="36">
        <f>IF(B44="-","",IF(E44="caja",VLOOKUP(B44,DATOS!$I$3:$AC$137,21,FALSE),F44))</f>
        <v>1</v>
      </c>
      <c r="H44" s="36">
        <f t="shared" si="3"/>
        <v>1</v>
      </c>
      <c r="I44" s="36">
        <f>IF(B44="-","",VLOOKUP(B44,DATOS!$I$3:$S$138,4,FALSE))</f>
        <v>6.85</v>
      </c>
      <c r="J44" s="64">
        <f t="shared" si="4"/>
        <v>6.85</v>
      </c>
      <c r="K44" s="39"/>
      <c r="M44" s="36">
        <f>IF(B44="-","",VLOOKUP(B44,DATOS!$I$3:$AF$138,24,FALSE))</f>
        <v>0.55000000000000004</v>
      </c>
      <c r="N44" s="30" t="s">
        <v>18</v>
      </c>
      <c r="O44" s="30">
        <f t="shared" si="5"/>
        <v>0.55000000000000004</v>
      </c>
    </row>
    <row r="45" spans="1:15" s="30" customFormat="1" ht="15" customHeight="1" x14ac:dyDescent="0.3">
      <c r="A45" s="92" t="s">
        <v>348</v>
      </c>
      <c r="B45" s="63" t="s">
        <v>320</v>
      </c>
      <c r="C45" s="34">
        <f>IF(B45="-","",VLOOKUP(B45,DATOS!$I$3:$K$200,2,FALSE))</f>
        <v>39001</v>
      </c>
      <c r="D45" s="35" t="str">
        <f>IF(B45="-","",CONCATENATE(VLOOKUP(C45,DATOS!$J$3:$K$200,2,FALSE)," ml"))</f>
        <v>- ml</v>
      </c>
      <c r="E45" s="35" t="s">
        <v>8</v>
      </c>
      <c r="F45" s="36">
        <v>1</v>
      </c>
      <c r="G45" s="36">
        <f>IF(B45="-","",IF(E45="caja",VLOOKUP(B45,DATOS!$I$3:$AC$137,21,FALSE),F45))</f>
        <v>1</v>
      </c>
      <c r="H45" s="36">
        <f t="shared" si="3"/>
        <v>1</v>
      </c>
      <c r="I45" s="36">
        <f>IF(B45="-","",VLOOKUP(B45,DATOS!$I$3:$S$138,4,FALSE))</f>
        <v>20</v>
      </c>
      <c r="J45" s="64">
        <f t="shared" si="4"/>
        <v>20</v>
      </c>
      <c r="K45" s="39"/>
      <c r="M45" s="36">
        <f>IF(B45="-","",VLOOKUP(B45,DATOS!$I$3:$AF$138,24,FALSE))</f>
        <v>0.11000000000000001</v>
      </c>
      <c r="N45" s="30" t="s">
        <v>18</v>
      </c>
      <c r="O45" s="30">
        <f t="shared" si="5"/>
        <v>0.11000000000000001</v>
      </c>
    </row>
    <row r="46" spans="1:15" s="30" customFormat="1" ht="15" customHeight="1" x14ac:dyDescent="0.3">
      <c r="A46" s="92" t="s">
        <v>348</v>
      </c>
      <c r="B46" s="63" t="s">
        <v>319</v>
      </c>
      <c r="C46" s="34">
        <f>IF(B46="-","",VLOOKUP(B46,DATOS!$I$3:$K$200,2,FALSE))</f>
        <v>2033</v>
      </c>
      <c r="D46" s="35" t="str">
        <f>IF(B46="-","",CONCATENATE(VLOOKUP(C46,DATOS!$J$3:$K$200,2,FALSE)," ml"))</f>
        <v>400 ml</v>
      </c>
      <c r="E46" s="35" t="s">
        <v>8</v>
      </c>
      <c r="F46" s="36">
        <v>2</v>
      </c>
      <c r="G46" s="36">
        <f>IF(B46="-","",IF(E46="caja",VLOOKUP(B46,DATOS!$I$3:$AC$137,21,FALSE),F46))</f>
        <v>2</v>
      </c>
      <c r="H46" s="36">
        <f t="shared" si="3"/>
        <v>2</v>
      </c>
      <c r="I46" s="36">
        <f>IF(B46="-","",VLOOKUP(B46,DATOS!$I$3:$S$138,4,FALSE))</f>
        <v>4.9000000000000004</v>
      </c>
      <c r="J46" s="64">
        <f t="shared" si="4"/>
        <v>9.8000000000000007</v>
      </c>
      <c r="K46" s="39"/>
      <c r="M46" s="36">
        <f>IF(B46="-","",VLOOKUP(B46,DATOS!$I$3:$AF$138,24,FALSE))</f>
        <v>0.44000000000000006</v>
      </c>
      <c r="N46" s="30" t="s">
        <v>18</v>
      </c>
      <c r="O46" s="30">
        <f t="shared" si="5"/>
        <v>0.88000000000000012</v>
      </c>
    </row>
    <row r="47" spans="1:15" s="30" customFormat="1" ht="15" customHeight="1" x14ac:dyDescent="0.3">
      <c r="A47" s="92" t="s">
        <v>348</v>
      </c>
      <c r="B47" s="63" t="s">
        <v>296</v>
      </c>
      <c r="C47" s="34" t="str">
        <f>IF(B47="-","",VLOOKUP(B47,DATOS!$I$3:$K$200,2,FALSE))</f>
        <v>2034-300</v>
      </c>
      <c r="D47" s="35" t="str">
        <f>IF(B47="-","",CONCATENATE(VLOOKUP(C47,DATOS!$J$3:$K$200,2,FALSE)," ml"))</f>
        <v>300 ml</v>
      </c>
      <c r="E47" s="35" t="s">
        <v>18</v>
      </c>
      <c r="F47" s="36">
        <v>2</v>
      </c>
      <c r="G47" s="36">
        <f>IF(B47="-","",IF(E47="caja",VLOOKUP(B47,DATOS!$I$3:$AC$137,21,FALSE),F47))</f>
        <v>24</v>
      </c>
      <c r="H47" s="36">
        <f t="shared" si="3"/>
        <v>48</v>
      </c>
      <c r="I47" s="36">
        <f>IF(B47="-","",VLOOKUP(B47,DATOS!$I$3:$S$138,4,FALSE))</f>
        <v>3.5</v>
      </c>
      <c r="J47" s="64">
        <f t="shared" si="4"/>
        <v>168</v>
      </c>
      <c r="K47" s="39"/>
      <c r="M47" s="36">
        <f>IF(B47="-","",VLOOKUP(B47,DATOS!$I$3:$AF$138,24,FALSE))</f>
        <v>0.33</v>
      </c>
      <c r="N47" s="30" t="s">
        <v>18</v>
      </c>
      <c r="O47" s="30">
        <f t="shared" si="5"/>
        <v>15.84</v>
      </c>
    </row>
    <row r="48" spans="1:15" s="30" customFormat="1" ht="15" customHeight="1" x14ac:dyDescent="0.3">
      <c r="A48" s="92" t="s">
        <v>348</v>
      </c>
      <c r="B48" s="63" t="s">
        <v>298</v>
      </c>
      <c r="C48" s="34" t="str">
        <f>IF(B48="-","",VLOOKUP(B48,DATOS!$I$3:$K$200,2,FALSE))</f>
        <v>2036-300</v>
      </c>
      <c r="D48" s="35" t="str">
        <f>IF(B48="-","",CONCATENATE(VLOOKUP(C48,DATOS!$J$3:$K$200,2,FALSE)," ml"))</f>
        <v>300 ml</v>
      </c>
      <c r="E48" s="35" t="s">
        <v>18</v>
      </c>
      <c r="F48" s="36">
        <v>1</v>
      </c>
      <c r="G48" s="36">
        <f>IF(B48="-","",IF(E48="caja",VLOOKUP(B48,DATOS!$I$3:$AC$137,21,FALSE),F48))</f>
        <v>24</v>
      </c>
      <c r="H48" s="36">
        <f t="shared" si="3"/>
        <v>24</v>
      </c>
      <c r="I48" s="36">
        <f>IF(B48="-","",VLOOKUP(B48,DATOS!$I$3:$S$138,4,FALSE))</f>
        <v>2.6</v>
      </c>
      <c r="J48" s="64">
        <f t="shared" si="4"/>
        <v>62.400000000000006</v>
      </c>
      <c r="K48" s="39"/>
      <c r="M48" s="36">
        <f>IF(B48="-","",VLOOKUP(B48,DATOS!$I$3:$AF$138,24,FALSE))</f>
        <v>0.33</v>
      </c>
      <c r="N48" s="30" t="s">
        <v>18</v>
      </c>
      <c r="O48" s="30">
        <f t="shared" si="5"/>
        <v>7.92</v>
      </c>
    </row>
    <row r="49" spans="1:15" s="30" customFormat="1" ht="15" customHeight="1" x14ac:dyDescent="0.3">
      <c r="A49" s="92" t="s">
        <v>348</v>
      </c>
      <c r="B49" s="63" t="s">
        <v>205</v>
      </c>
      <c r="C49" s="34" t="str">
        <f>IF(B49="-","",VLOOKUP(B49,DATOS!$I$3:$K$200,2,FALSE))</f>
        <v>2036+</v>
      </c>
      <c r="D49" s="35" t="str">
        <f>IF(B49="-","",CONCATENATE(VLOOKUP(C49,DATOS!$J$3:$K$200,2,FALSE)," ml"))</f>
        <v>250 ml</v>
      </c>
      <c r="E49" s="35" t="s">
        <v>18</v>
      </c>
      <c r="F49" s="36">
        <v>2</v>
      </c>
      <c r="G49" s="36">
        <f>IF(B49="-","",IF(E49="caja",VLOOKUP(B49,DATOS!$I$3:$AC$137,21,FALSE),F49))</f>
        <v>24</v>
      </c>
      <c r="H49" s="36">
        <f t="shared" si="3"/>
        <v>48</v>
      </c>
      <c r="I49" s="36">
        <f>IF(B49="-","",VLOOKUP(B49,DATOS!$I$3:$S$138,4,FALSE))</f>
        <v>3.75</v>
      </c>
      <c r="J49" s="64">
        <f t="shared" si="4"/>
        <v>180</v>
      </c>
      <c r="K49" s="39"/>
      <c r="M49" s="36">
        <f>IF(B49="-","",VLOOKUP(B49,DATOS!$I$3:$AF$138,24,FALSE))</f>
        <v>0.27500000000000002</v>
      </c>
      <c r="N49" s="30" t="s">
        <v>18</v>
      </c>
      <c r="O49" s="30">
        <f t="shared" si="5"/>
        <v>13.200000000000001</v>
      </c>
    </row>
    <row r="50" spans="1:15" s="30" customFormat="1" ht="15" customHeight="1" x14ac:dyDescent="0.3">
      <c r="A50" s="92" t="s">
        <v>348</v>
      </c>
      <c r="B50" s="63" t="s">
        <v>207</v>
      </c>
      <c r="C50" s="34">
        <f>IF(B50="-","",VLOOKUP(B50,DATOS!$I$3:$K$200,2,FALSE))</f>
        <v>2536</v>
      </c>
      <c r="D50" s="35" t="str">
        <f>IF(B50="-","",CONCATENATE(VLOOKUP(C50,DATOS!$J$3:$K$200,2,FALSE)," ml"))</f>
        <v>250 ml</v>
      </c>
      <c r="E50" s="35" t="s">
        <v>8</v>
      </c>
      <c r="F50" s="36">
        <v>6</v>
      </c>
      <c r="G50" s="36">
        <f>IF(B50="-","",IF(E50="caja",VLOOKUP(B50,DATOS!$I$3:$AC$137,21,FALSE),F50))</f>
        <v>6</v>
      </c>
      <c r="H50" s="36">
        <f t="shared" si="3"/>
        <v>6</v>
      </c>
      <c r="I50" s="36">
        <f>IF(B50="-","",VLOOKUP(B50,DATOS!$I$3:$S$138,4,FALSE))</f>
        <v>2.95</v>
      </c>
      <c r="J50" s="64">
        <f t="shared" si="4"/>
        <v>17.700000000000003</v>
      </c>
      <c r="K50" s="39"/>
      <c r="M50" s="36">
        <f>IF(B50="-","",VLOOKUP(B50,DATOS!$I$3:$AF$138,24,FALSE))</f>
        <v>0.27500000000000002</v>
      </c>
      <c r="N50" s="30" t="s">
        <v>18</v>
      </c>
      <c r="O50" s="30">
        <f t="shared" si="5"/>
        <v>1.6500000000000001</v>
      </c>
    </row>
    <row r="51" spans="1:15" s="30" customFormat="1" ht="15" customHeight="1" x14ac:dyDescent="0.3">
      <c r="A51" s="92" t="s">
        <v>342</v>
      </c>
      <c r="B51" s="63" t="s">
        <v>208</v>
      </c>
      <c r="C51" s="34">
        <f>IF(B51="-","",VLOOKUP(B51,DATOS!$I$3:$K$200,2,FALSE))</f>
        <v>2038</v>
      </c>
      <c r="D51" s="35" t="str">
        <f>IF(B51="-","",CONCATENATE(VLOOKUP(C51,DATOS!$J$3:$K$200,2,FALSE)," ml"))</f>
        <v>400 ml</v>
      </c>
      <c r="E51" s="35" t="s">
        <v>8</v>
      </c>
      <c r="F51" s="36">
        <v>12</v>
      </c>
      <c r="G51" s="36">
        <f>IF(B51="-","",IF(E51="caja",VLOOKUP(B51,DATOS!$I$3:$AC$137,21,FALSE),F51))</f>
        <v>12</v>
      </c>
      <c r="H51" s="36">
        <f t="shared" si="3"/>
        <v>12</v>
      </c>
      <c r="I51" s="36">
        <f>IF(B51="-","",VLOOKUP(B51,DATOS!$I$3:$S$138,4,FALSE))</f>
        <v>4.5</v>
      </c>
      <c r="J51" s="64">
        <f t="shared" si="4"/>
        <v>54</v>
      </c>
      <c r="K51" s="39"/>
      <c r="M51" s="36">
        <f>IF(B51="-","",VLOOKUP(B51,DATOS!$I$3:$AF$138,24,FALSE))</f>
        <v>0.44000000000000006</v>
      </c>
      <c r="N51" s="30" t="s">
        <v>18</v>
      </c>
      <c r="O51" s="30">
        <f t="shared" si="5"/>
        <v>5.2800000000000011</v>
      </c>
    </row>
    <row r="52" spans="1:15" s="30" customFormat="1" ht="15" customHeight="1" x14ac:dyDescent="0.3">
      <c r="A52" s="92" t="s">
        <v>343</v>
      </c>
      <c r="B52" s="63" t="s">
        <v>300</v>
      </c>
      <c r="C52" s="34">
        <f>IF(B52="-","",VLOOKUP(B52,DATOS!$I$3:$K$200,2,FALSE))</f>
        <v>2057</v>
      </c>
      <c r="D52" s="35" t="str">
        <f>IF(B52="-","",CONCATENATE(VLOOKUP(C52,DATOS!$J$3:$K$200,2,FALSE)," ml"))</f>
        <v>50 ml</v>
      </c>
      <c r="E52" s="35" t="s">
        <v>8</v>
      </c>
      <c r="F52" s="36">
        <v>6</v>
      </c>
      <c r="G52" s="36">
        <f>IF(B52="-","",IF(E52="caja",VLOOKUP(B52,DATOS!$I$3:$AC$137,21,FALSE),F52))</f>
        <v>6</v>
      </c>
      <c r="H52" s="36">
        <f t="shared" si="3"/>
        <v>6</v>
      </c>
      <c r="I52" s="36">
        <f>IF(B52="-","",VLOOKUP(B52,DATOS!$I$3:$S$138,4,FALSE))</f>
        <v>2.4500000000000002</v>
      </c>
      <c r="J52" s="64">
        <f t="shared" si="4"/>
        <v>14.700000000000001</v>
      </c>
      <c r="K52" s="39"/>
      <c r="M52" s="36">
        <f>IF(B52="-","",VLOOKUP(B52,DATOS!$I$3:$AF$138,24,FALSE))</f>
        <v>5.5000000000000007E-2</v>
      </c>
      <c r="N52" s="30" t="s">
        <v>18</v>
      </c>
      <c r="O52" s="30">
        <f t="shared" si="5"/>
        <v>0.33000000000000007</v>
      </c>
    </row>
    <row r="53" spans="1:15" s="30" customFormat="1" ht="15" customHeight="1" x14ac:dyDescent="0.3">
      <c r="A53" s="92" t="s">
        <v>347</v>
      </c>
      <c r="B53" s="63" t="s">
        <v>210</v>
      </c>
      <c r="C53" s="34">
        <f>IF(B53="-","",VLOOKUP(B53,DATOS!$I$3:$K$200,2,FALSE))</f>
        <v>255</v>
      </c>
      <c r="D53" s="35" t="str">
        <f>IF(B53="-","",CONCATENATE(VLOOKUP(C53,DATOS!$J$3:$K$200,2,FALSE)," ml"))</f>
        <v>400 ml</v>
      </c>
      <c r="E53" s="35" t="s">
        <v>8</v>
      </c>
      <c r="F53" s="36">
        <v>6</v>
      </c>
      <c r="G53" s="36">
        <f>IF(B53="-","",IF(E53="caja",VLOOKUP(B53,DATOS!$I$3:$AC$137,21,FALSE),F53))</f>
        <v>6</v>
      </c>
      <c r="H53" s="36">
        <f t="shared" si="3"/>
        <v>6</v>
      </c>
      <c r="I53" s="36">
        <f>IF(B53="-","",VLOOKUP(B53,DATOS!$I$3:$S$138,4,FALSE))</f>
        <v>3.75</v>
      </c>
      <c r="J53" s="64">
        <f t="shared" si="4"/>
        <v>22.5</v>
      </c>
      <c r="K53" s="39"/>
      <c r="M53" s="36">
        <f>IF(B53="-","",VLOOKUP(B53,DATOS!$I$3:$AF$138,24,FALSE))</f>
        <v>0.44000000000000006</v>
      </c>
      <c r="N53" s="30" t="s">
        <v>18</v>
      </c>
      <c r="O53" s="30">
        <f t="shared" si="5"/>
        <v>2.6400000000000006</v>
      </c>
    </row>
    <row r="54" spans="1:15" s="30" customFormat="1" ht="15" customHeight="1" x14ac:dyDescent="0.3">
      <c r="A54" s="92" t="s">
        <v>350</v>
      </c>
      <c r="B54" s="70" t="s">
        <v>211</v>
      </c>
      <c r="C54" s="34">
        <f>IF(B54="-","",VLOOKUP(B54,DATOS!$I$3:$K$200,2,FALSE))</f>
        <v>2255</v>
      </c>
      <c r="D54" s="35" t="str">
        <f>IF(B54="-","",CONCATENATE(VLOOKUP(C54,DATOS!$J$3:$K$200,2,FALSE)," ml"))</f>
        <v>200 ml</v>
      </c>
      <c r="E54" s="35" t="s">
        <v>8</v>
      </c>
      <c r="F54" s="36">
        <v>6</v>
      </c>
      <c r="G54" s="36">
        <f>IF(B54="-","",IF(E54="caja",VLOOKUP(B54,DATOS!$I$3:$AC$137,21,FALSE),F54))</f>
        <v>6</v>
      </c>
      <c r="H54" s="36">
        <f t="shared" si="3"/>
        <v>6</v>
      </c>
      <c r="I54" s="36">
        <f>IF(B54="-","",VLOOKUP(B54,DATOS!$I$3:$S$138,4,FALSE))</f>
        <v>0</v>
      </c>
      <c r="J54" s="64">
        <f t="shared" si="4"/>
        <v>0</v>
      </c>
      <c r="K54" s="39"/>
      <c r="M54" s="36">
        <f>IF(B54="-","",VLOOKUP(B54,DATOS!$I$3:$AF$138,24,FALSE))</f>
        <v>0.22000000000000003</v>
      </c>
      <c r="N54" s="30" t="s">
        <v>18</v>
      </c>
      <c r="O54" s="30">
        <f t="shared" si="5"/>
        <v>1.3200000000000003</v>
      </c>
    </row>
    <row r="55" spans="1:15" s="30" customFormat="1" ht="15" customHeight="1" x14ac:dyDescent="0.3">
      <c r="A55" s="92" t="s">
        <v>348</v>
      </c>
      <c r="B55" s="63" t="s">
        <v>212</v>
      </c>
      <c r="C55" s="34">
        <f>IF(B55="-","",VLOOKUP(B55,DATOS!$I$3:$K$200,2,FALSE))</f>
        <v>2455</v>
      </c>
      <c r="D55" s="35" t="str">
        <f>IF(B55="-","",CONCATENATE(VLOOKUP(C55,DATOS!$J$3:$K$200,2,FALSE)," ml"))</f>
        <v>200 ml</v>
      </c>
      <c r="E55" s="35" t="s">
        <v>8</v>
      </c>
      <c r="F55" s="36">
        <v>6</v>
      </c>
      <c r="G55" s="36">
        <f>IF(B55="-","",IF(E55="caja",VLOOKUP(B55,DATOS!$I$3:$AC$137,21,FALSE),F55))</f>
        <v>6</v>
      </c>
      <c r="H55" s="36">
        <f t="shared" si="3"/>
        <v>6</v>
      </c>
      <c r="I55" s="36">
        <f>IF(B55="-","",VLOOKUP(B55,DATOS!$I$3:$S$138,4,FALSE))</f>
        <v>7.55</v>
      </c>
      <c r="J55" s="64">
        <f t="shared" si="4"/>
        <v>45.3</v>
      </c>
      <c r="K55" s="39"/>
      <c r="M55" s="36">
        <f>IF(B55="-","",VLOOKUP(B55,DATOS!$I$3:$AF$138,24,FALSE))</f>
        <v>0.22000000000000003</v>
      </c>
      <c r="N55" s="30" t="s">
        <v>18</v>
      </c>
      <c r="O55" s="30">
        <f t="shared" si="5"/>
        <v>1.3200000000000003</v>
      </c>
    </row>
    <row r="56" spans="1:15" s="30" customFormat="1" ht="15" customHeight="1" x14ac:dyDescent="0.3">
      <c r="A56" s="92" t="s">
        <v>348</v>
      </c>
      <c r="B56" s="63" t="s">
        <v>213</v>
      </c>
      <c r="C56" s="34">
        <f>IF(B56="-","",VLOOKUP(B56,DATOS!$I$3:$K$200,2,FALSE))</f>
        <v>2022</v>
      </c>
      <c r="D56" s="35" t="str">
        <f>IF(B56="-","",CONCATENATE(VLOOKUP(C56,DATOS!$J$3:$K$200,2,FALSE)," ml"))</f>
        <v>1000 ml</v>
      </c>
      <c r="E56" s="35" t="s">
        <v>8</v>
      </c>
      <c r="F56" s="36">
        <v>2</v>
      </c>
      <c r="G56" s="36">
        <f>IF(B56="-","",IF(E56="caja",VLOOKUP(B56,DATOS!$I$3:$AC$137,21,FALSE),F56))</f>
        <v>2</v>
      </c>
      <c r="H56" s="36">
        <f t="shared" si="3"/>
        <v>2</v>
      </c>
      <c r="I56" s="36">
        <f>IF(B56="-","",VLOOKUP(B56,DATOS!$I$3:$S$138,4,FALSE))</f>
        <v>1.85</v>
      </c>
      <c r="J56" s="64">
        <f t="shared" si="4"/>
        <v>3.7</v>
      </c>
      <c r="K56" s="39"/>
      <c r="M56" s="36">
        <f>IF(B56="-","",VLOOKUP(B56,DATOS!$I$3:$AF$138,24,FALSE))</f>
        <v>1.1000000000000001</v>
      </c>
      <c r="N56" s="30" t="s">
        <v>18</v>
      </c>
      <c r="O56" s="30">
        <f t="shared" si="5"/>
        <v>2.2000000000000002</v>
      </c>
    </row>
    <row r="57" spans="1:15" s="30" customFormat="1" ht="15" customHeight="1" x14ac:dyDescent="0.3">
      <c r="A57" s="92" t="s">
        <v>348</v>
      </c>
      <c r="B57" s="63" t="s">
        <v>214</v>
      </c>
      <c r="C57" s="34">
        <f>IF(B57="-","",VLOOKUP(B57,DATOS!$I$3:$K$200,2,FALSE))</f>
        <v>2026</v>
      </c>
      <c r="D57" s="35" t="str">
        <f>IF(B57="-","",CONCATENATE(VLOOKUP(C57,DATOS!$J$3:$K$200,2,FALSE)," ml"))</f>
        <v>50 ml</v>
      </c>
      <c r="E57" s="35" t="s">
        <v>18</v>
      </c>
      <c r="F57" s="36">
        <v>1</v>
      </c>
      <c r="G57" s="36">
        <f>IF(B57="-","",IF(E57="caja",VLOOKUP(B57,DATOS!$I$3:$AC$137,21,FALSE),F57))</f>
        <v>126</v>
      </c>
      <c r="H57" s="36">
        <f t="shared" si="3"/>
        <v>126</v>
      </c>
      <c r="I57" s="36">
        <f>IF(B57="-","",VLOOKUP(B57,DATOS!$I$3:$S$138,4,FALSE))</f>
        <v>0.55000000000000004</v>
      </c>
      <c r="J57" s="64">
        <f t="shared" si="4"/>
        <v>69.300000000000011</v>
      </c>
      <c r="K57" s="39"/>
      <c r="M57" s="36">
        <f>IF(B57="-","",VLOOKUP(B57,DATOS!$I$3:$AF$138,24,FALSE))</f>
        <v>5.5000000000000007E-2</v>
      </c>
      <c r="N57" s="30" t="s">
        <v>18</v>
      </c>
      <c r="O57" s="30">
        <f t="shared" si="5"/>
        <v>6.9300000000000006</v>
      </c>
    </row>
    <row r="58" spans="1:15" s="30" customFormat="1" ht="15" customHeight="1" x14ac:dyDescent="0.3">
      <c r="A58" s="92" t="s">
        <v>348</v>
      </c>
      <c r="B58" s="63" t="s">
        <v>301</v>
      </c>
      <c r="C58" s="34">
        <f>IF(B58="-","",VLOOKUP(B58,DATOS!$I$3:$K$200,2,FALSE))</f>
        <v>2040</v>
      </c>
      <c r="D58" s="35" t="str">
        <f>IF(B58="-","",CONCATENATE(VLOOKUP(C58,DATOS!$J$3:$K$200,2,FALSE)," ml"))</f>
        <v>400 ml</v>
      </c>
      <c r="E58" s="35" t="s">
        <v>8</v>
      </c>
      <c r="F58" s="36">
        <v>4</v>
      </c>
      <c r="G58" s="36">
        <f>IF(B58="-","",IF(E58="caja",VLOOKUP(B58,DATOS!$I$3:$AC$137,21,FALSE),F58))</f>
        <v>4</v>
      </c>
      <c r="H58" s="36">
        <f t="shared" si="3"/>
        <v>4</v>
      </c>
      <c r="I58" s="36">
        <f>IF(B58="-","",VLOOKUP(B58,DATOS!$I$3:$S$138,4,FALSE))</f>
        <v>0</v>
      </c>
      <c r="J58" s="64">
        <f t="shared" si="4"/>
        <v>0</v>
      </c>
      <c r="K58" s="39"/>
      <c r="M58" s="36">
        <f>IF(B58="-","",VLOOKUP(B58,DATOS!$I$3:$AF$138,24,FALSE))</f>
        <v>0.44000000000000006</v>
      </c>
      <c r="N58" s="30" t="s">
        <v>18</v>
      </c>
      <c r="O58" s="30">
        <f t="shared" si="5"/>
        <v>1.7600000000000002</v>
      </c>
    </row>
    <row r="59" spans="1:15" s="30" customFormat="1" ht="15" customHeight="1" x14ac:dyDescent="0.3">
      <c r="A59" s="92" t="s">
        <v>348</v>
      </c>
      <c r="B59" s="63" t="s">
        <v>215</v>
      </c>
      <c r="C59" s="34">
        <f>IF(B59="-","",VLOOKUP(B59,DATOS!$I$3:$K$200,2,FALSE))</f>
        <v>2041</v>
      </c>
      <c r="D59" s="35" t="str">
        <f>IF(B59="-","",CONCATENATE(VLOOKUP(C59,DATOS!$J$3:$K$200,2,FALSE)," ml"))</f>
        <v>400 ml</v>
      </c>
      <c r="E59" s="35" t="s">
        <v>8</v>
      </c>
      <c r="F59" s="36">
        <v>4</v>
      </c>
      <c r="G59" s="36">
        <f>IF(B59="-","",IF(E59="caja",VLOOKUP(B59,DATOS!$I$3:$AC$137,21,FALSE),F59))</f>
        <v>4</v>
      </c>
      <c r="H59" s="36">
        <f t="shared" si="3"/>
        <v>4</v>
      </c>
      <c r="I59" s="36">
        <f>IF(B59="-","",VLOOKUP(B59,DATOS!$I$3:$S$138,4,FALSE))</f>
        <v>3.7</v>
      </c>
      <c r="J59" s="64">
        <f t="shared" si="4"/>
        <v>14.8</v>
      </c>
      <c r="K59" s="39"/>
      <c r="M59" s="36">
        <f>IF(B59="-","",VLOOKUP(B59,DATOS!$I$3:$AF$138,24,FALSE))</f>
        <v>0.44000000000000006</v>
      </c>
      <c r="N59" s="30" t="s">
        <v>18</v>
      </c>
      <c r="O59" s="30">
        <f t="shared" si="5"/>
        <v>1.7600000000000002</v>
      </c>
    </row>
    <row r="60" spans="1:15" s="30" customFormat="1" ht="15" customHeight="1" x14ac:dyDescent="0.3">
      <c r="A60" s="92" t="s">
        <v>348</v>
      </c>
      <c r="B60" s="63" t="s">
        <v>216</v>
      </c>
      <c r="C60" s="34">
        <f>IF(B60="-","",VLOOKUP(B60,DATOS!$I$3:$K$200,2,FALSE))</f>
        <v>2042</v>
      </c>
      <c r="D60" s="35" t="str">
        <f>IF(B60="-","",CONCATENATE(VLOOKUP(C60,DATOS!$J$3:$K$200,2,FALSE)," ml"))</f>
        <v>400 ml</v>
      </c>
      <c r="E60" s="35" t="s">
        <v>8</v>
      </c>
      <c r="F60" s="36">
        <v>12</v>
      </c>
      <c r="G60" s="36">
        <f>IF(B60="-","",IF(E60="caja",VLOOKUP(B60,DATOS!$I$3:$AC$137,21,FALSE),F60))</f>
        <v>12</v>
      </c>
      <c r="H60" s="36">
        <f t="shared" si="3"/>
        <v>12</v>
      </c>
      <c r="I60" s="36">
        <f>IF(B60="-","",VLOOKUP(B60,DATOS!$I$3:$S$138,4,FALSE))</f>
        <v>3.85</v>
      </c>
      <c r="J60" s="64">
        <f t="shared" si="4"/>
        <v>46.2</v>
      </c>
      <c r="K60" s="39"/>
      <c r="M60" s="36">
        <f>IF(B60="-","",VLOOKUP(B60,DATOS!$I$3:$AF$138,24,FALSE))</f>
        <v>0.44000000000000006</v>
      </c>
      <c r="N60" s="30" t="s">
        <v>18</v>
      </c>
      <c r="O60" s="30">
        <f t="shared" si="5"/>
        <v>5.2800000000000011</v>
      </c>
    </row>
    <row r="61" spans="1:15" s="30" customFormat="1" ht="15" customHeight="1" thickBot="1" x14ac:dyDescent="0.35">
      <c r="A61" s="92" t="s">
        <v>348</v>
      </c>
      <c r="B61" s="63" t="s">
        <v>217</v>
      </c>
      <c r="C61" s="34">
        <f>IF(B61="-","",VLOOKUP(B61,DATOS!$I$3:$K$200,2,FALSE))</f>
        <v>2043</v>
      </c>
      <c r="D61" s="35" t="str">
        <f>IF(B61="-","",CONCATENATE(VLOOKUP(C61,DATOS!$J$3:$K$200,2,FALSE)," ml"))</f>
        <v>400 ml</v>
      </c>
      <c r="E61" s="35" t="s">
        <v>8</v>
      </c>
      <c r="F61" s="36">
        <v>4</v>
      </c>
      <c r="G61" s="36">
        <f>IF(B61="-","",IF(E61="caja",VLOOKUP(B61,DATOS!$I$3:$AC$137,21,FALSE),F61))</f>
        <v>4</v>
      </c>
      <c r="H61" s="36">
        <f t="shared" si="3"/>
        <v>4</v>
      </c>
      <c r="I61" s="36">
        <f>IF(B61="-","",VLOOKUP(B61,DATOS!$I$3:$S$138,4,FALSE))</f>
        <v>3.15</v>
      </c>
      <c r="J61" s="64">
        <f t="shared" si="4"/>
        <v>12.6</v>
      </c>
      <c r="K61" s="39"/>
      <c r="M61" s="36">
        <f>IF(B61="-","",VLOOKUP(B61,DATOS!$I$3:$AF$138,24,FALSE))</f>
        <v>0.44000000000000006</v>
      </c>
      <c r="N61" s="30" t="s">
        <v>18</v>
      </c>
      <c r="O61" s="30">
        <f t="shared" si="5"/>
        <v>1.7600000000000002</v>
      </c>
    </row>
    <row r="62" spans="1:15" s="30" customFormat="1" ht="19.95" customHeight="1" thickBot="1" x14ac:dyDescent="0.35">
      <c r="B62" s="37"/>
      <c r="C62" s="37"/>
      <c r="D62" s="37"/>
      <c r="E62" s="38"/>
      <c r="F62" s="39"/>
      <c r="G62" s="39"/>
      <c r="H62" s="39"/>
      <c r="I62" s="90" t="s">
        <v>321</v>
      </c>
      <c r="J62" s="69">
        <f>SUM(J34:J61)</f>
        <v>1718.05</v>
      </c>
      <c r="K62" s="50"/>
    </row>
    <row r="63" spans="1:15" s="31" customFormat="1" ht="24.9" customHeight="1" thickBot="1" x14ac:dyDescent="0.35">
      <c r="B63" s="94" t="s">
        <v>247</v>
      </c>
      <c r="C63" s="95"/>
      <c r="D63" s="95"/>
      <c r="E63" s="95"/>
      <c r="F63" s="95"/>
      <c r="G63" s="95"/>
      <c r="H63" s="96"/>
      <c r="I63" s="75" t="s">
        <v>253</v>
      </c>
      <c r="J63" s="76" t="str">
        <f>J8</f>
        <v>2025-0001</v>
      </c>
      <c r="K63" s="49"/>
    </row>
    <row r="64" spans="1:15" s="31" customFormat="1" ht="15" customHeight="1" x14ac:dyDescent="0.3">
      <c r="B64" s="78" t="s">
        <v>4</v>
      </c>
      <c r="C64" s="79" t="s">
        <v>261</v>
      </c>
      <c r="D64" s="79" t="s">
        <v>250</v>
      </c>
      <c r="E64" s="79" t="s">
        <v>1</v>
      </c>
      <c r="F64" s="79" t="s">
        <v>251</v>
      </c>
      <c r="G64" s="79"/>
      <c r="H64" s="79" t="s">
        <v>2</v>
      </c>
      <c r="I64" s="79" t="s">
        <v>262</v>
      </c>
      <c r="J64" s="80" t="s">
        <v>273</v>
      </c>
      <c r="K64" s="49"/>
    </row>
    <row r="65" spans="1:15" s="30" customFormat="1" ht="15" customHeight="1" x14ac:dyDescent="0.3">
      <c r="A65" s="92" t="s">
        <v>348</v>
      </c>
      <c r="B65" s="63" t="s">
        <v>218</v>
      </c>
      <c r="C65" s="71">
        <f>IF(B65="-","",VLOOKUP(B65,DATOS!$I$3:$K$200,2,FALSE))</f>
        <v>2045</v>
      </c>
      <c r="D65" s="72" t="str">
        <f>IF(B65="-","",CONCATENATE(VLOOKUP(C65,DATOS!$J$3:$K$200,2,FALSE)," ml"))</f>
        <v>400 ml</v>
      </c>
      <c r="E65" s="72" t="s">
        <v>8</v>
      </c>
      <c r="F65" s="73">
        <v>2</v>
      </c>
      <c r="G65" s="73">
        <f>IF(B65="-","",IF(E65="caja",VLOOKUP(B65,DATOS!$I$3:$AC$137,21,FALSE),F65))</f>
        <v>2</v>
      </c>
      <c r="H65" s="73">
        <f t="shared" ref="H65:H92" si="6">IF(B65="-","",IF(E65="caja",F65*G65,F65))</f>
        <v>2</v>
      </c>
      <c r="I65" s="73">
        <f>IF(B65="-","",VLOOKUP(B65,DATOS!$I$3:$S$138,4,FALSE))</f>
        <v>3.9</v>
      </c>
      <c r="J65" s="74">
        <f t="shared" ref="J65:J92" si="7">IF(B65="-","",H65*I65)</f>
        <v>7.8</v>
      </c>
      <c r="K65" s="39"/>
      <c r="M65" s="36">
        <f>IF(B65="-","",VLOOKUP(B65,DATOS!$I$3:$AF$138,24,FALSE))</f>
        <v>0.44000000000000006</v>
      </c>
      <c r="N65" s="30" t="s">
        <v>18</v>
      </c>
      <c r="O65" s="30">
        <f>IF(H65="",0,M65*H65)</f>
        <v>0.88000000000000012</v>
      </c>
    </row>
    <row r="66" spans="1:15" s="30" customFormat="1" ht="15" customHeight="1" x14ac:dyDescent="0.3">
      <c r="A66" s="92" t="s">
        <v>342</v>
      </c>
      <c r="B66" s="63" t="s">
        <v>219</v>
      </c>
      <c r="C66" s="34">
        <f>IF(B66="-","",VLOOKUP(B66,DATOS!$I$3:$K$200,2,FALSE))</f>
        <v>2246</v>
      </c>
      <c r="D66" s="35" t="str">
        <f>IF(B66="-","",CONCATENATE(VLOOKUP(C66,DATOS!$J$3:$K$200,2,FALSE)," ml"))</f>
        <v>400 ml</v>
      </c>
      <c r="E66" s="35" t="s">
        <v>18</v>
      </c>
      <c r="F66" s="36">
        <v>2</v>
      </c>
      <c r="G66" s="36">
        <f>IF(B66="-","",IF(E66="caja",VLOOKUP(B66,DATOS!$I$3:$AC$137,21,FALSE),F66))</f>
        <v>24</v>
      </c>
      <c r="H66" s="36">
        <f t="shared" si="6"/>
        <v>48</v>
      </c>
      <c r="I66" s="36">
        <f>IF(B66="-","",VLOOKUP(B66,DATOS!$I$3:$S$138,4,FALSE))</f>
        <v>3.75</v>
      </c>
      <c r="J66" s="64">
        <f t="shared" si="7"/>
        <v>180</v>
      </c>
      <c r="K66" s="39"/>
      <c r="M66" s="36">
        <f>IF(B66="-","",VLOOKUP(B66,DATOS!$I$3:$AF$138,24,FALSE))</f>
        <v>0.44000000000000006</v>
      </c>
      <c r="N66" s="30" t="s">
        <v>18</v>
      </c>
      <c r="O66" s="30">
        <f t="shared" ref="O66:O92" si="8">IF(H66="",0,M66*H66)</f>
        <v>21.120000000000005</v>
      </c>
    </row>
    <row r="67" spans="1:15" s="30" customFormat="1" ht="15" customHeight="1" x14ac:dyDescent="0.3">
      <c r="A67" s="92" t="s">
        <v>343</v>
      </c>
      <c r="B67" s="63" t="s">
        <v>222</v>
      </c>
      <c r="C67" s="34">
        <f>IF(B67="-","",VLOOKUP(B67,DATOS!$I$3:$K$200,2,FALSE))</f>
        <v>2047</v>
      </c>
      <c r="D67" s="35" t="str">
        <f>IF(B67="-","",CONCATENATE(VLOOKUP(C67,DATOS!$J$3:$K$200,2,FALSE)," ml"))</f>
        <v>400 ml</v>
      </c>
      <c r="E67" s="35" t="s">
        <v>8</v>
      </c>
      <c r="F67" s="36">
        <v>4</v>
      </c>
      <c r="G67" s="36">
        <f>IF(B67="-","",IF(E67="caja",VLOOKUP(B67,DATOS!$I$3:$AC$137,21,FALSE),F67))</f>
        <v>4</v>
      </c>
      <c r="H67" s="36">
        <f t="shared" si="6"/>
        <v>4</v>
      </c>
      <c r="I67" s="36">
        <f>IF(B67="-","",VLOOKUP(B67,DATOS!$I$3:$S$138,4,FALSE))</f>
        <v>2.5</v>
      </c>
      <c r="J67" s="64">
        <f t="shared" si="7"/>
        <v>10</v>
      </c>
      <c r="K67" s="39"/>
      <c r="M67" s="36">
        <f>IF(B67="-","",VLOOKUP(B67,DATOS!$I$3:$AF$138,24,FALSE))</f>
        <v>0.44000000000000006</v>
      </c>
      <c r="N67" s="30" t="s">
        <v>18</v>
      </c>
      <c r="O67" s="30">
        <f t="shared" si="8"/>
        <v>1.7600000000000002</v>
      </c>
    </row>
    <row r="68" spans="1:15" s="30" customFormat="1" ht="15" customHeight="1" x14ac:dyDescent="0.3">
      <c r="A68" s="92" t="s">
        <v>347</v>
      </c>
      <c r="B68" s="63" t="s">
        <v>322</v>
      </c>
      <c r="C68" s="34">
        <f>IF(B68="-","",VLOOKUP(B68,DATOS!$I$3:$K$200,2,FALSE))</f>
        <v>2048</v>
      </c>
      <c r="D68" s="35" t="str">
        <f>IF(B68="-","",CONCATENATE(VLOOKUP(C68,DATOS!$J$3:$K$200,2,FALSE)," ml"))</f>
        <v>400 ml</v>
      </c>
      <c r="E68" s="35" t="s">
        <v>8</v>
      </c>
      <c r="F68" s="36">
        <v>4</v>
      </c>
      <c r="G68" s="36">
        <f>IF(B68="-","",IF(E68="caja",VLOOKUP(B68,DATOS!$I$3:$AC$137,21,FALSE),F68))</f>
        <v>4</v>
      </c>
      <c r="H68" s="36">
        <f t="shared" si="6"/>
        <v>4</v>
      </c>
      <c r="I68" s="36">
        <f>IF(B68="-","",VLOOKUP(B68,DATOS!$I$3:$S$138,4,FALSE))</f>
        <v>2.35</v>
      </c>
      <c r="J68" s="64">
        <f t="shared" si="7"/>
        <v>9.4</v>
      </c>
      <c r="K68" s="39"/>
      <c r="M68" s="36">
        <f>IF(B68="-","",VLOOKUP(B68,DATOS!$I$3:$AF$138,24,FALSE))</f>
        <v>0.44000000000000006</v>
      </c>
      <c r="N68" s="30" t="s">
        <v>18</v>
      </c>
      <c r="O68" s="30">
        <f t="shared" si="8"/>
        <v>1.7600000000000002</v>
      </c>
    </row>
    <row r="69" spans="1:15" s="30" customFormat="1" ht="15" customHeight="1" x14ac:dyDescent="0.3">
      <c r="A69" s="92" t="s">
        <v>350</v>
      </c>
      <c r="B69" s="63" t="s">
        <v>330</v>
      </c>
      <c r="C69" s="34">
        <f>IF(B69="-","",VLOOKUP(B69,DATOS!$I$3:$K$200,2,FALSE))</f>
        <v>2053</v>
      </c>
      <c r="D69" s="35" t="str">
        <f>IF(B69="-","",CONCATENATE(VLOOKUP(C69,DATOS!$J$3:$K$200,2,FALSE)," ml"))</f>
        <v>400 ml</v>
      </c>
      <c r="E69" s="35" t="s">
        <v>18</v>
      </c>
      <c r="F69" s="36">
        <v>1</v>
      </c>
      <c r="G69" s="36">
        <f>IF(B69="-","",IF(E69="caja",VLOOKUP(B69,DATOS!$I$3:$AC$137,21,FALSE),F69))</f>
        <v>24</v>
      </c>
      <c r="H69" s="36">
        <f t="shared" si="6"/>
        <v>24</v>
      </c>
      <c r="I69" s="36">
        <f>IF(B69="-","",VLOOKUP(B69,DATOS!$I$3:$S$138,4,FALSE))</f>
        <v>3.5</v>
      </c>
      <c r="J69" s="64">
        <f t="shared" si="7"/>
        <v>84</v>
      </c>
      <c r="K69" s="39"/>
      <c r="M69" s="36">
        <f>IF(B69="-","",VLOOKUP(B69,DATOS!$I$3:$AF$138,24,FALSE))</f>
        <v>0.44000000000000006</v>
      </c>
      <c r="N69" s="30" t="s">
        <v>18</v>
      </c>
      <c r="O69" s="30">
        <f t="shared" si="8"/>
        <v>10.560000000000002</v>
      </c>
    </row>
    <row r="70" spans="1:15" s="30" customFormat="1" ht="15" customHeight="1" x14ac:dyDescent="0.3">
      <c r="A70" s="92" t="s">
        <v>348</v>
      </c>
      <c r="B70" s="63" t="s">
        <v>224</v>
      </c>
      <c r="C70" s="34">
        <f>IF(B70="-","",VLOOKUP(B70,DATOS!$I$3:$K$200,2,FALSE))</f>
        <v>2054</v>
      </c>
      <c r="D70" s="35" t="str">
        <f>IF(B70="-","",CONCATENATE(VLOOKUP(C70,DATOS!$J$3:$K$200,2,FALSE)," ml"))</f>
        <v>400 ml</v>
      </c>
      <c r="E70" s="35" t="s">
        <v>8</v>
      </c>
      <c r="F70" s="36">
        <v>4</v>
      </c>
      <c r="G70" s="36">
        <f>IF(B70="-","",IF(E70="caja",VLOOKUP(B70,DATOS!$I$3:$AC$137,21,FALSE),F70))</f>
        <v>4</v>
      </c>
      <c r="H70" s="36">
        <f t="shared" si="6"/>
        <v>4</v>
      </c>
      <c r="I70" s="36">
        <f>IF(B70="-","",VLOOKUP(B70,DATOS!$I$3:$S$138,4,FALSE))</f>
        <v>4.8</v>
      </c>
      <c r="J70" s="64">
        <f t="shared" si="7"/>
        <v>19.2</v>
      </c>
      <c r="K70" s="39"/>
      <c r="M70" s="36">
        <f>IF(B70="-","",VLOOKUP(B70,DATOS!$I$3:$AF$138,24,FALSE))</f>
        <v>0.44000000000000006</v>
      </c>
      <c r="N70" s="30" t="s">
        <v>18</v>
      </c>
      <c r="O70" s="30">
        <f t="shared" si="8"/>
        <v>1.7600000000000002</v>
      </c>
    </row>
    <row r="71" spans="1:15" s="30" customFormat="1" ht="15" customHeight="1" x14ac:dyDescent="0.3">
      <c r="A71" s="92" t="s">
        <v>348</v>
      </c>
      <c r="B71" s="63" t="s">
        <v>225</v>
      </c>
      <c r="C71" s="34">
        <f>IF(B71="-","",VLOOKUP(B71,DATOS!$I$3:$K$200,2,FALSE))</f>
        <v>2056</v>
      </c>
      <c r="D71" s="35" t="str">
        <f>IF(B71="-","",CONCATENATE(VLOOKUP(C71,DATOS!$J$3:$K$200,2,FALSE)," ml"))</f>
        <v>400 ml</v>
      </c>
      <c r="E71" s="35" t="s">
        <v>8</v>
      </c>
      <c r="F71" s="36">
        <v>4</v>
      </c>
      <c r="G71" s="36">
        <f>IF(B71="-","",IF(E71="caja",VLOOKUP(B71,DATOS!$I$3:$AC$137,21,FALSE),F71))</f>
        <v>4</v>
      </c>
      <c r="H71" s="36">
        <f t="shared" si="6"/>
        <v>4</v>
      </c>
      <c r="I71" s="36">
        <f>IF(B71="-","",VLOOKUP(B71,DATOS!$I$3:$S$138,4,FALSE))</f>
        <v>4.8</v>
      </c>
      <c r="J71" s="64">
        <f t="shared" si="7"/>
        <v>19.2</v>
      </c>
      <c r="K71" s="39"/>
      <c r="M71" s="36">
        <f>IF(B71="-","",VLOOKUP(B71,DATOS!$I$3:$AF$138,24,FALSE))</f>
        <v>0.44000000000000006</v>
      </c>
      <c r="N71" s="30" t="s">
        <v>18</v>
      </c>
      <c r="O71" s="30">
        <f t="shared" si="8"/>
        <v>1.7600000000000002</v>
      </c>
    </row>
    <row r="72" spans="1:15" s="30" customFormat="1" ht="15" customHeight="1" x14ac:dyDescent="0.3">
      <c r="A72" s="92" t="s">
        <v>348</v>
      </c>
      <c r="B72" s="63" t="s">
        <v>226</v>
      </c>
      <c r="C72" s="34">
        <f>IF(B72="-","",VLOOKUP(B72,DATOS!$I$3:$K$200,2,FALSE))</f>
        <v>2059</v>
      </c>
      <c r="D72" s="35" t="str">
        <f>IF(B72="-","",CONCATENATE(VLOOKUP(C72,DATOS!$J$3:$K$200,2,FALSE)," ml"))</f>
        <v>400 ml</v>
      </c>
      <c r="E72" s="35" t="s">
        <v>8</v>
      </c>
      <c r="F72" s="36">
        <v>4</v>
      </c>
      <c r="G72" s="36">
        <f>IF(B72="-","",IF(E72="caja",VLOOKUP(B72,DATOS!$I$3:$AC$137,21,FALSE),F72))</f>
        <v>4</v>
      </c>
      <c r="H72" s="36">
        <f t="shared" si="6"/>
        <v>4</v>
      </c>
      <c r="I72" s="36">
        <f>IF(B72="-","",VLOOKUP(B72,DATOS!$I$3:$S$138,4,FALSE))</f>
        <v>3.9</v>
      </c>
      <c r="J72" s="64">
        <f t="shared" si="7"/>
        <v>15.6</v>
      </c>
      <c r="K72" s="39"/>
      <c r="M72" s="36">
        <f>IF(B72="-","",VLOOKUP(B72,DATOS!$I$3:$AF$138,24,FALSE))</f>
        <v>0.44000000000000006</v>
      </c>
      <c r="N72" s="30" t="s">
        <v>18</v>
      </c>
      <c r="O72" s="30">
        <f t="shared" si="8"/>
        <v>1.7600000000000002</v>
      </c>
    </row>
    <row r="73" spans="1:15" s="30" customFormat="1" ht="15" customHeight="1" x14ac:dyDescent="0.3">
      <c r="A73" s="92" t="s">
        <v>348</v>
      </c>
      <c r="B73" s="63" t="s">
        <v>331</v>
      </c>
      <c r="C73" s="34">
        <f>IF(B73="-","",VLOOKUP(B73,DATOS!$I$3:$K$200,2,FALSE))</f>
        <v>2060</v>
      </c>
      <c r="D73" s="35" t="str">
        <f>IF(B73="-","",CONCATENATE(VLOOKUP(C73,DATOS!$J$3:$K$200,2,FALSE)," ml"))</f>
        <v>400 ml</v>
      </c>
      <c r="E73" s="35" t="s">
        <v>18</v>
      </c>
      <c r="F73" s="36">
        <v>1</v>
      </c>
      <c r="G73" s="36">
        <f>IF(B73="-","",IF(E73="caja",VLOOKUP(B73,DATOS!$I$3:$AC$137,21,FALSE),F73))</f>
        <v>12</v>
      </c>
      <c r="H73" s="36">
        <f t="shared" si="6"/>
        <v>12</v>
      </c>
      <c r="I73" s="36">
        <f>IF(B73="-","",VLOOKUP(B73,DATOS!$I$3:$S$138,4,FALSE))</f>
        <v>1.9</v>
      </c>
      <c r="J73" s="64">
        <f t="shared" si="7"/>
        <v>22.799999999999997</v>
      </c>
      <c r="K73" s="39"/>
      <c r="M73" s="36">
        <f>IF(B73="-","",VLOOKUP(B73,DATOS!$I$3:$AF$138,24,FALSE))</f>
        <v>0.66</v>
      </c>
      <c r="N73" s="30" t="s">
        <v>18</v>
      </c>
      <c r="O73" s="30">
        <f t="shared" si="8"/>
        <v>7.92</v>
      </c>
    </row>
    <row r="74" spans="1:15" s="30" customFormat="1" ht="15" customHeight="1" x14ac:dyDescent="0.3">
      <c r="A74" s="92" t="s">
        <v>348</v>
      </c>
      <c r="B74" s="63" t="s">
        <v>323</v>
      </c>
      <c r="C74" s="34">
        <f>IF(B74="-","",VLOOKUP(B74,DATOS!$I$3:$K$200,2,FALSE))</f>
        <v>2117</v>
      </c>
      <c r="D74" s="35" t="str">
        <f>IF(B74="-","",CONCATENATE(VLOOKUP(C74,DATOS!$J$3:$K$200,2,FALSE)," ml"))</f>
        <v>500 ml</v>
      </c>
      <c r="E74" s="35" t="s">
        <v>8</v>
      </c>
      <c r="F74" s="36">
        <v>4</v>
      </c>
      <c r="G74" s="36">
        <f>IF(B74="-","",IF(E74="caja",VLOOKUP(B74,DATOS!$I$3:$AC$137,21,FALSE),F74))</f>
        <v>4</v>
      </c>
      <c r="H74" s="36">
        <f t="shared" si="6"/>
        <v>4</v>
      </c>
      <c r="I74" s="36">
        <f>IF(B74="-","",VLOOKUP(B74,DATOS!$I$3:$S$138,4,FALSE))</f>
        <v>0</v>
      </c>
      <c r="J74" s="64">
        <f t="shared" si="7"/>
        <v>0</v>
      </c>
      <c r="K74" s="39"/>
      <c r="M74" s="36">
        <f>IF(B74="-","",VLOOKUP(B74,DATOS!$I$3:$AF$138,24,FALSE))</f>
        <v>0.55000000000000004</v>
      </c>
      <c r="N74" s="30" t="s">
        <v>18</v>
      </c>
      <c r="O74" s="30">
        <f t="shared" si="8"/>
        <v>2.2000000000000002</v>
      </c>
    </row>
    <row r="75" spans="1:15" s="30" customFormat="1" ht="15" customHeight="1" x14ac:dyDescent="0.3">
      <c r="A75" s="92" t="s">
        <v>348</v>
      </c>
      <c r="B75" s="63" t="s">
        <v>227</v>
      </c>
      <c r="C75" s="34">
        <f>IF(B75="-","",VLOOKUP(B75,DATOS!$I$3:$K$200,2,FALSE))</f>
        <v>2061</v>
      </c>
      <c r="D75" s="35" t="str">
        <f>IF(B75="-","",CONCATENATE(VLOOKUP(C75,DATOS!$J$3:$K$200,2,FALSE)," ml"))</f>
        <v>500 ml</v>
      </c>
      <c r="E75" s="35" t="s">
        <v>8</v>
      </c>
      <c r="F75" s="36">
        <v>4</v>
      </c>
      <c r="G75" s="36">
        <f>IF(B75="-","",IF(E75="caja",VLOOKUP(B75,DATOS!$I$3:$AC$137,21,FALSE),F75))</f>
        <v>4</v>
      </c>
      <c r="H75" s="36">
        <f t="shared" si="6"/>
        <v>4</v>
      </c>
      <c r="I75" s="36">
        <f>IF(B75="-","",VLOOKUP(B75,DATOS!$I$3:$S$138,4,FALSE))</f>
        <v>3.2</v>
      </c>
      <c r="J75" s="64">
        <f t="shared" si="7"/>
        <v>12.8</v>
      </c>
      <c r="K75" s="39"/>
      <c r="M75" s="36">
        <f>IF(B75="-","",VLOOKUP(B75,DATOS!$I$3:$AF$138,24,FALSE))</f>
        <v>0.55000000000000004</v>
      </c>
      <c r="N75" s="30" t="s">
        <v>18</v>
      </c>
      <c r="O75" s="30">
        <f t="shared" si="8"/>
        <v>2.2000000000000002</v>
      </c>
    </row>
    <row r="76" spans="1:15" s="30" customFormat="1" ht="15" customHeight="1" x14ac:dyDescent="0.3">
      <c r="A76" s="92" t="s">
        <v>348</v>
      </c>
      <c r="B76" s="63" t="s">
        <v>228</v>
      </c>
      <c r="C76" s="34">
        <f>IF(B76="-","",VLOOKUP(B76,DATOS!$I$3:$K$200,2,FALSE))</f>
        <v>2070</v>
      </c>
      <c r="D76" s="35" t="str">
        <f>IF(B76="-","",CONCATENATE(VLOOKUP(C76,DATOS!$J$3:$K$200,2,FALSE)," ml"))</f>
        <v>400 ml</v>
      </c>
      <c r="E76" s="35" t="s">
        <v>8</v>
      </c>
      <c r="F76" s="36">
        <v>4</v>
      </c>
      <c r="G76" s="36">
        <f>IF(B76="-","",IF(E76="caja",VLOOKUP(B76,DATOS!$I$3:$AC$137,21,FALSE),F76))</f>
        <v>4</v>
      </c>
      <c r="H76" s="36">
        <f t="shared" si="6"/>
        <v>4</v>
      </c>
      <c r="I76" s="36">
        <f>IF(B76="-","",VLOOKUP(B76,DATOS!$I$3:$S$138,4,FALSE))</f>
        <v>3.45</v>
      </c>
      <c r="J76" s="64">
        <f t="shared" si="7"/>
        <v>13.8</v>
      </c>
      <c r="K76" s="39"/>
      <c r="M76" s="36">
        <f>IF(B76="-","",VLOOKUP(B76,DATOS!$I$3:$AF$138,24,FALSE))</f>
        <v>0.44000000000000006</v>
      </c>
      <c r="N76" s="30" t="s">
        <v>18</v>
      </c>
      <c r="O76" s="30">
        <f t="shared" si="8"/>
        <v>1.7600000000000002</v>
      </c>
    </row>
    <row r="77" spans="1:15" s="30" customFormat="1" ht="15" customHeight="1" x14ac:dyDescent="0.3">
      <c r="A77" s="92" t="s">
        <v>348</v>
      </c>
      <c r="B77" s="63" t="s">
        <v>229</v>
      </c>
      <c r="C77" s="34">
        <f>IF(B77="-","",VLOOKUP(B77,DATOS!$I$3:$K$200,2,FALSE))</f>
        <v>2071</v>
      </c>
      <c r="D77" s="35" t="str">
        <f>IF(B77="-","",CONCATENATE(VLOOKUP(C77,DATOS!$J$3:$K$200,2,FALSE)," ml"))</f>
        <v>400 ml</v>
      </c>
      <c r="E77" s="35" t="s">
        <v>8</v>
      </c>
      <c r="F77" s="36">
        <v>4</v>
      </c>
      <c r="G77" s="36">
        <f>IF(B77="-","",IF(E77="caja",VLOOKUP(B77,DATOS!$I$3:$AC$137,21,FALSE),F77))</f>
        <v>4</v>
      </c>
      <c r="H77" s="36">
        <f t="shared" si="6"/>
        <v>4</v>
      </c>
      <c r="I77" s="36">
        <f>IF(B77="-","",VLOOKUP(B77,DATOS!$I$3:$S$138,4,FALSE))</f>
        <v>3.2</v>
      </c>
      <c r="J77" s="64">
        <f t="shared" si="7"/>
        <v>12.8</v>
      </c>
      <c r="K77" s="39"/>
      <c r="M77" s="36">
        <f>IF(B77="-","",VLOOKUP(B77,DATOS!$I$3:$AF$138,24,FALSE))</f>
        <v>0.44000000000000006</v>
      </c>
      <c r="N77" s="30" t="s">
        <v>18</v>
      </c>
      <c r="O77" s="30">
        <f t="shared" si="8"/>
        <v>1.7600000000000002</v>
      </c>
    </row>
    <row r="78" spans="1:15" s="30" customFormat="1" ht="15" customHeight="1" x14ac:dyDescent="0.3">
      <c r="A78" s="92" t="s">
        <v>348</v>
      </c>
      <c r="B78" s="63" t="s">
        <v>230</v>
      </c>
      <c r="C78" s="34">
        <f>IF(B78="-","",VLOOKUP(B78,DATOS!$I$3:$K$200,2,FALSE))</f>
        <v>2075</v>
      </c>
      <c r="D78" s="35" t="str">
        <f>IF(B78="-","",CONCATENATE(VLOOKUP(C78,DATOS!$J$3:$K$200,2,FALSE)," ml"))</f>
        <v>400 ml</v>
      </c>
      <c r="E78" s="35" t="s">
        <v>8</v>
      </c>
      <c r="F78" s="36">
        <v>2</v>
      </c>
      <c r="G78" s="36">
        <f>IF(B78="-","",IF(E78="caja",VLOOKUP(B78,DATOS!$I$3:$AC$137,21,FALSE),F78))</f>
        <v>2</v>
      </c>
      <c r="H78" s="36">
        <f t="shared" si="6"/>
        <v>2</v>
      </c>
      <c r="I78" s="36">
        <f>IF(B78="-","",VLOOKUP(B78,DATOS!$I$3:$S$138,4,FALSE))</f>
        <v>3.1</v>
      </c>
      <c r="J78" s="64">
        <f t="shared" si="7"/>
        <v>6.2</v>
      </c>
      <c r="K78" s="39"/>
      <c r="M78" s="36">
        <f>IF(B78="-","",VLOOKUP(B78,DATOS!$I$3:$AF$138,24,FALSE))</f>
        <v>0.44000000000000006</v>
      </c>
      <c r="N78" s="30" t="s">
        <v>18</v>
      </c>
      <c r="O78" s="30">
        <f t="shared" si="8"/>
        <v>0.88000000000000012</v>
      </c>
    </row>
    <row r="79" spans="1:15" s="30" customFormat="1" ht="15" customHeight="1" x14ac:dyDescent="0.3">
      <c r="A79" s="92" t="s">
        <v>348</v>
      </c>
      <c r="B79" s="63" t="s">
        <v>231</v>
      </c>
      <c r="C79" s="34">
        <f>IF(B79="-","",VLOOKUP(B79,DATOS!$I$3:$K$200,2,FALSE))</f>
        <v>2076</v>
      </c>
      <c r="D79" s="35" t="str">
        <f>IF(B79="-","",CONCATENATE(VLOOKUP(C79,DATOS!$J$3:$K$200,2,FALSE)," ml"))</f>
        <v>400 ml</v>
      </c>
      <c r="E79" s="35" t="s">
        <v>8</v>
      </c>
      <c r="F79" s="36">
        <v>4</v>
      </c>
      <c r="G79" s="36">
        <f>IF(B79="-","",IF(E79="caja",VLOOKUP(B79,DATOS!$I$3:$AC$137,21,FALSE),F79))</f>
        <v>4</v>
      </c>
      <c r="H79" s="36">
        <f t="shared" si="6"/>
        <v>4</v>
      </c>
      <c r="I79" s="36">
        <f>IF(B79="-","",VLOOKUP(B79,DATOS!$I$3:$S$138,4,FALSE))</f>
        <v>3.2</v>
      </c>
      <c r="J79" s="64">
        <f t="shared" si="7"/>
        <v>12.8</v>
      </c>
      <c r="K79" s="39"/>
      <c r="M79" s="36">
        <f>IF(B79="-","",VLOOKUP(B79,DATOS!$I$3:$AF$138,24,FALSE))</f>
        <v>0.44000000000000006</v>
      </c>
      <c r="N79" s="30" t="s">
        <v>18</v>
      </c>
      <c r="O79" s="30">
        <f t="shared" si="8"/>
        <v>1.7600000000000002</v>
      </c>
    </row>
    <row r="80" spans="1:15" s="30" customFormat="1" ht="15" customHeight="1" x14ac:dyDescent="0.3">
      <c r="A80" s="92" t="s">
        <v>348</v>
      </c>
      <c r="B80" s="63" t="s">
        <v>232</v>
      </c>
      <c r="C80" s="34">
        <f>IF(B80="-","",VLOOKUP(B80,DATOS!$I$3:$K$200,2,FALSE))</f>
        <v>2094</v>
      </c>
      <c r="D80" s="35" t="str">
        <f>IF(B80="-","",CONCATENATE(VLOOKUP(C80,DATOS!$J$3:$K$200,2,FALSE)," ml"))</f>
        <v>400 ml</v>
      </c>
      <c r="E80" s="35" t="s">
        <v>8</v>
      </c>
      <c r="F80" s="36">
        <v>4</v>
      </c>
      <c r="G80" s="36">
        <f>IF(B80="-","",IF(E80="caja",VLOOKUP(B80,DATOS!$I$3:$AC$137,21,FALSE),F80))</f>
        <v>4</v>
      </c>
      <c r="H80" s="36">
        <f t="shared" si="6"/>
        <v>4</v>
      </c>
      <c r="I80" s="36">
        <f>IF(B80="-","",VLOOKUP(B80,DATOS!$I$3:$S$138,4,FALSE))</f>
        <v>3.5</v>
      </c>
      <c r="J80" s="64">
        <f t="shared" si="7"/>
        <v>14</v>
      </c>
      <c r="K80" s="39"/>
      <c r="M80" s="36">
        <f>IF(B80="-","",VLOOKUP(B80,DATOS!$I$3:$AF$138,24,FALSE))</f>
        <v>0.44000000000000006</v>
      </c>
      <c r="N80" s="30" t="s">
        <v>18</v>
      </c>
      <c r="O80" s="30">
        <f t="shared" si="8"/>
        <v>1.7600000000000002</v>
      </c>
    </row>
    <row r="81" spans="1:15" s="30" customFormat="1" ht="15" customHeight="1" x14ac:dyDescent="0.3">
      <c r="A81" s="92" t="s">
        <v>348</v>
      </c>
      <c r="B81" s="63" t="s">
        <v>233</v>
      </c>
      <c r="C81" s="34">
        <f>IF(B81="-","",VLOOKUP(B81,DATOS!$I$3:$K$200,2,FALSE))</f>
        <v>2194</v>
      </c>
      <c r="D81" s="35" t="str">
        <f>IF(B81="-","",CONCATENATE(VLOOKUP(C81,DATOS!$J$3:$K$200,2,FALSE)," ml"))</f>
        <v>500 ml</v>
      </c>
      <c r="E81" s="35" t="s">
        <v>8</v>
      </c>
      <c r="F81" s="36">
        <v>4</v>
      </c>
      <c r="G81" s="36">
        <f>IF(B81="-","",IF(E81="caja",VLOOKUP(B81,DATOS!$I$3:$AC$137,21,FALSE),F81))</f>
        <v>4</v>
      </c>
      <c r="H81" s="36">
        <f t="shared" si="6"/>
        <v>4</v>
      </c>
      <c r="I81" s="36">
        <f>IF(B81="-","",VLOOKUP(B81,DATOS!$I$3:$S$138,4,FALSE))</f>
        <v>0</v>
      </c>
      <c r="J81" s="64">
        <f t="shared" si="7"/>
        <v>0</v>
      </c>
      <c r="K81" s="39"/>
      <c r="M81" s="36">
        <f>IF(B81="-","",VLOOKUP(B81,DATOS!$I$3:$AF$138,24,FALSE))</f>
        <v>0.55000000000000004</v>
      </c>
      <c r="N81" s="30" t="s">
        <v>18</v>
      </c>
      <c r="O81" s="30">
        <f t="shared" si="8"/>
        <v>2.2000000000000002</v>
      </c>
    </row>
    <row r="82" spans="1:15" s="30" customFormat="1" ht="15" customHeight="1" x14ac:dyDescent="0.3">
      <c r="A82" s="92" t="s">
        <v>342</v>
      </c>
      <c r="B82" s="63" t="s">
        <v>234</v>
      </c>
      <c r="C82" s="34">
        <f>IF(B82="-","",VLOOKUP(B82,DATOS!$I$3:$K$200,2,FALSE))</f>
        <v>2095</v>
      </c>
      <c r="D82" s="35" t="str">
        <f>IF(B82="-","",CONCATENATE(VLOOKUP(C82,DATOS!$J$3:$K$200,2,FALSE)," ml"))</f>
        <v>200 ml</v>
      </c>
      <c r="E82" s="35" t="s">
        <v>8</v>
      </c>
      <c r="F82" s="36">
        <v>12</v>
      </c>
      <c r="G82" s="36">
        <f>IF(B82="-","",IF(E82="caja",VLOOKUP(B82,DATOS!$I$3:$AC$137,21,FALSE),F82))</f>
        <v>12</v>
      </c>
      <c r="H82" s="36">
        <f t="shared" si="6"/>
        <v>12</v>
      </c>
      <c r="I82" s="36">
        <f>IF(B82="-","",VLOOKUP(B82,DATOS!$I$3:$S$138,4,FALSE))</f>
        <v>7.5</v>
      </c>
      <c r="J82" s="64">
        <f t="shared" si="7"/>
        <v>90</v>
      </c>
      <c r="K82" s="39"/>
      <c r="M82" s="36">
        <f>IF(B82="-","",VLOOKUP(B82,DATOS!$I$3:$AF$138,24,FALSE))</f>
        <v>0.22000000000000003</v>
      </c>
      <c r="N82" s="30" t="s">
        <v>18</v>
      </c>
      <c r="O82" s="30">
        <f t="shared" si="8"/>
        <v>2.6400000000000006</v>
      </c>
    </row>
    <row r="83" spans="1:15" s="30" customFormat="1" ht="15" customHeight="1" x14ac:dyDescent="0.3">
      <c r="A83" s="92" t="s">
        <v>343</v>
      </c>
      <c r="B83" s="63" t="s">
        <v>235</v>
      </c>
      <c r="C83" s="34">
        <f>IF(B83="-","",VLOOKUP(B83,DATOS!$I$3:$K$200,2,FALSE))</f>
        <v>2195</v>
      </c>
      <c r="D83" s="35" t="str">
        <f>IF(B83="-","",CONCATENATE(VLOOKUP(C83,DATOS!$J$3:$K$200,2,FALSE)," ml"))</f>
        <v>200 ml</v>
      </c>
      <c r="E83" s="35" t="s">
        <v>8</v>
      </c>
      <c r="F83" s="36">
        <v>4</v>
      </c>
      <c r="G83" s="36">
        <f>IF(B83="-","",IF(E83="caja",VLOOKUP(B83,DATOS!$I$3:$AC$137,21,FALSE),F83))</f>
        <v>4</v>
      </c>
      <c r="H83" s="36">
        <f t="shared" si="6"/>
        <v>4</v>
      </c>
      <c r="I83" s="36">
        <f>IF(B83="-","",VLOOKUP(B83,DATOS!$I$3:$S$138,4,FALSE))</f>
        <v>0</v>
      </c>
      <c r="J83" s="64">
        <f t="shared" si="7"/>
        <v>0</v>
      </c>
      <c r="K83" s="39"/>
      <c r="M83" s="36">
        <f>IF(B83="-","",VLOOKUP(B83,DATOS!$I$3:$AF$138,24,FALSE))</f>
        <v>0.22000000000000003</v>
      </c>
      <c r="N83" s="30" t="s">
        <v>18</v>
      </c>
      <c r="O83" s="30">
        <f t="shared" si="8"/>
        <v>0.88000000000000012</v>
      </c>
    </row>
    <row r="84" spans="1:15" s="30" customFormat="1" ht="15" customHeight="1" x14ac:dyDescent="0.3">
      <c r="A84" s="92" t="s">
        <v>347</v>
      </c>
      <c r="B84" s="63" t="s">
        <v>236</v>
      </c>
      <c r="C84" s="34">
        <f>IF(B84="-","",VLOOKUP(B84,DATOS!$I$3:$K$200,2,FALSE))</f>
        <v>2096</v>
      </c>
      <c r="D84" s="35" t="str">
        <f>IF(B84="-","",CONCATENATE(VLOOKUP(C84,DATOS!$J$3:$K$200,2,FALSE)," ml"))</f>
        <v>400 ml</v>
      </c>
      <c r="E84" s="35" t="s">
        <v>8</v>
      </c>
      <c r="F84" s="36">
        <v>2</v>
      </c>
      <c r="G84" s="36">
        <f>IF(B84="-","",IF(E84="caja",VLOOKUP(B84,DATOS!$I$3:$AC$137,21,FALSE),F84))</f>
        <v>2</v>
      </c>
      <c r="H84" s="36">
        <f t="shared" si="6"/>
        <v>2</v>
      </c>
      <c r="I84" s="36">
        <f>IF(B84="-","",VLOOKUP(B84,DATOS!$I$3:$S$138,4,FALSE))</f>
        <v>3.5</v>
      </c>
      <c r="J84" s="64">
        <f t="shared" si="7"/>
        <v>7</v>
      </c>
      <c r="K84" s="39"/>
      <c r="M84" s="36">
        <f>IF(B84="-","",VLOOKUP(B84,DATOS!$I$3:$AF$138,24,FALSE))</f>
        <v>0.44000000000000006</v>
      </c>
      <c r="N84" s="30" t="s">
        <v>18</v>
      </c>
      <c r="O84" s="30">
        <f t="shared" si="8"/>
        <v>0.88000000000000012</v>
      </c>
    </row>
    <row r="85" spans="1:15" s="30" customFormat="1" ht="15" customHeight="1" x14ac:dyDescent="0.3">
      <c r="A85" s="92" t="s">
        <v>350</v>
      </c>
      <c r="B85" s="63" t="s">
        <v>238</v>
      </c>
      <c r="C85" s="34">
        <f>IF(B85="-","",VLOOKUP(B85,DATOS!$I$3:$K$200,2,FALSE))</f>
        <v>2083</v>
      </c>
      <c r="D85" s="35" t="str">
        <f>IF(B85="-","",CONCATENATE(VLOOKUP(C85,DATOS!$J$3:$K$200,2,FALSE)," ml"))</f>
        <v>1000 ml</v>
      </c>
      <c r="E85" s="35" t="s">
        <v>8</v>
      </c>
      <c r="F85" s="36">
        <v>2</v>
      </c>
      <c r="G85" s="36">
        <f>IF(B85="-","",IF(E85="caja",VLOOKUP(B85,DATOS!$I$3:$AC$137,21,FALSE),F85))</f>
        <v>2</v>
      </c>
      <c r="H85" s="36">
        <f t="shared" si="6"/>
        <v>2</v>
      </c>
      <c r="I85" s="36">
        <f>IF(B85="-","",VLOOKUP(B85,DATOS!$I$3:$S$138,4,FALSE))</f>
        <v>5.4</v>
      </c>
      <c r="J85" s="64">
        <f t="shared" si="7"/>
        <v>10.8</v>
      </c>
      <c r="K85" s="39"/>
      <c r="M85" s="36">
        <f>IF(B85="-","",VLOOKUP(B85,DATOS!$I$3:$AF$138,24,FALSE))</f>
        <v>1.1000000000000001</v>
      </c>
      <c r="N85" s="30" t="s">
        <v>18</v>
      </c>
      <c r="O85" s="30">
        <f t="shared" si="8"/>
        <v>2.2000000000000002</v>
      </c>
    </row>
    <row r="86" spans="1:15" s="30" customFormat="1" ht="15" customHeight="1" x14ac:dyDescent="0.3">
      <c r="A86" s="92" t="s">
        <v>348</v>
      </c>
      <c r="B86" s="63" t="s">
        <v>239</v>
      </c>
      <c r="C86" s="34">
        <f>IF(B86="-","",VLOOKUP(B86,DATOS!$I$3:$K$200,2,FALSE))</f>
        <v>2090</v>
      </c>
      <c r="D86" s="35" t="str">
        <f>IF(B86="-","",CONCATENATE(VLOOKUP(C86,DATOS!$J$3:$K$200,2,FALSE)," ml"))</f>
        <v>400 ml</v>
      </c>
      <c r="E86" s="35" t="s">
        <v>8</v>
      </c>
      <c r="F86" s="36">
        <v>12</v>
      </c>
      <c r="G86" s="36">
        <f>IF(B86="-","",IF(E86="caja",VLOOKUP(B86,DATOS!$I$3:$AC$137,21,FALSE),F86))</f>
        <v>12</v>
      </c>
      <c r="H86" s="36">
        <f t="shared" si="6"/>
        <v>12</v>
      </c>
      <c r="I86" s="36">
        <f>IF(B86="-","",VLOOKUP(B86,DATOS!$I$3:$S$138,4,FALSE))</f>
        <v>3.5</v>
      </c>
      <c r="J86" s="64">
        <f t="shared" si="7"/>
        <v>42</v>
      </c>
      <c r="K86" s="39"/>
      <c r="M86" s="36">
        <f>IF(B86="-","",VLOOKUP(B86,DATOS!$I$3:$AF$138,24,FALSE))</f>
        <v>0.44000000000000006</v>
      </c>
      <c r="N86" s="30" t="s">
        <v>18</v>
      </c>
      <c r="O86" s="30">
        <f t="shared" si="8"/>
        <v>5.2800000000000011</v>
      </c>
    </row>
    <row r="87" spans="1:15" s="30" customFormat="1" ht="15" customHeight="1" x14ac:dyDescent="0.3">
      <c r="A87" s="92" t="s">
        <v>348</v>
      </c>
      <c r="B87" s="63" t="s">
        <v>240</v>
      </c>
      <c r="C87" s="34">
        <f>IF(B87="-","",VLOOKUP(B87,DATOS!$I$3:$K$200,2,FALSE))</f>
        <v>2091</v>
      </c>
      <c r="D87" s="35" t="str">
        <f>IF(B87="-","",CONCATENATE(VLOOKUP(C87,DATOS!$J$3:$K$200,2,FALSE)," ml"))</f>
        <v>500 ml</v>
      </c>
      <c r="E87" s="35" t="s">
        <v>8</v>
      </c>
      <c r="F87" s="36">
        <v>12</v>
      </c>
      <c r="G87" s="36">
        <f>IF(B87="-","",IF(E87="caja",VLOOKUP(B87,DATOS!$I$3:$AC$137,21,FALSE),F87))</f>
        <v>12</v>
      </c>
      <c r="H87" s="36">
        <f t="shared" si="6"/>
        <v>12</v>
      </c>
      <c r="I87" s="36">
        <f>IF(B87="-","",VLOOKUP(B87,DATOS!$I$3:$S$138,4,FALSE))</f>
        <v>3.9</v>
      </c>
      <c r="J87" s="64">
        <f t="shared" si="7"/>
        <v>46.8</v>
      </c>
      <c r="K87" s="39"/>
      <c r="M87" s="36">
        <f>IF(B87="-","",VLOOKUP(B87,DATOS!$I$3:$AF$138,24,FALSE))</f>
        <v>0.55000000000000004</v>
      </c>
      <c r="N87" s="30" t="s">
        <v>18</v>
      </c>
      <c r="O87" s="30">
        <f t="shared" si="8"/>
        <v>6.6000000000000005</v>
      </c>
    </row>
    <row r="88" spans="1:15" s="30" customFormat="1" ht="15" customHeight="1" x14ac:dyDescent="0.3">
      <c r="A88" s="92" t="s">
        <v>348</v>
      </c>
      <c r="B88" s="63" t="s">
        <v>241</v>
      </c>
      <c r="C88" s="34">
        <f>IF(B88="-","",VLOOKUP(B88,DATOS!$I$3:$K$200,2,FALSE))</f>
        <v>2092</v>
      </c>
      <c r="D88" s="35" t="str">
        <f>IF(B88="-","",CONCATENATE(VLOOKUP(C88,DATOS!$J$3:$K$200,2,FALSE)," ml"))</f>
        <v>500 ml</v>
      </c>
      <c r="E88" s="35" t="s">
        <v>8</v>
      </c>
      <c r="F88" s="36">
        <v>12</v>
      </c>
      <c r="G88" s="36">
        <f>IF(B88="-","",IF(E88="caja",VLOOKUP(B88,DATOS!$I$3:$AC$137,21,FALSE),F88))</f>
        <v>12</v>
      </c>
      <c r="H88" s="36">
        <f t="shared" si="6"/>
        <v>12</v>
      </c>
      <c r="I88" s="36">
        <f>IF(B88="-","",VLOOKUP(B88,DATOS!$I$3:$S$138,4,FALSE))</f>
        <v>0</v>
      </c>
      <c r="J88" s="64">
        <f t="shared" si="7"/>
        <v>0</v>
      </c>
      <c r="K88" s="39"/>
      <c r="M88" s="36">
        <f>IF(B88="-","",VLOOKUP(B88,DATOS!$I$3:$AF$138,24,FALSE))</f>
        <v>0.55000000000000004</v>
      </c>
      <c r="N88" s="30" t="s">
        <v>18</v>
      </c>
      <c r="O88" s="30">
        <f t="shared" si="8"/>
        <v>6.6000000000000005</v>
      </c>
    </row>
    <row r="89" spans="1:15" s="30" customFormat="1" ht="15" customHeight="1" x14ac:dyDescent="0.3">
      <c r="A89" s="92" t="s">
        <v>348</v>
      </c>
      <c r="B89" s="63" t="s">
        <v>332</v>
      </c>
      <c r="C89" s="34">
        <f>IF(B89="-","",VLOOKUP(B89,DATOS!$I$3:$K$200,2,FALSE))</f>
        <v>2199</v>
      </c>
      <c r="D89" s="35" t="str">
        <f>IF(B89="-","",CONCATENATE(VLOOKUP(C89,DATOS!$J$3:$K$200,2,FALSE)," ml"))</f>
        <v>50 ml</v>
      </c>
      <c r="E89" s="35" t="s">
        <v>8</v>
      </c>
      <c r="F89" s="36">
        <v>2</v>
      </c>
      <c r="G89" s="36">
        <f>IF(B89="-","",IF(E89="caja",VLOOKUP(B89,DATOS!$I$3:$AC$137,21,FALSE),F89))</f>
        <v>2</v>
      </c>
      <c r="H89" s="36">
        <f t="shared" si="6"/>
        <v>2</v>
      </c>
      <c r="I89" s="36">
        <f>IF(B89="-","",VLOOKUP(B89,DATOS!$I$3:$S$138,4,FALSE))</f>
        <v>7.75</v>
      </c>
      <c r="J89" s="64">
        <f t="shared" si="7"/>
        <v>15.5</v>
      </c>
      <c r="K89" s="39"/>
      <c r="M89" s="36">
        <f>IF(B89="-","",VLOOKUP(B89,DATOS!$I$3:$AF$138,24,FALSE))</f>
        <v>5.5000000000000007E-2</v>
      </c>
      <c r="N89" s="30" t="s">
        <v>18</v>
      </c>
      <c r="O89" s="30">
        <f t="shared" si="8"/>
        <v>0.11000000000000001</v>
      </c>
    </row>
    <row r="90" spans="1:15" s="30" customFormat="1" ht="15" customHeight="1" x14ac:dyDescent="0.3">
      <c r="A90" s="92" t="s">
        <v>348</v>
      </c>
      <c r="B90" s="63" t="s">
        <v>333</v>
      </c>
      <c r="C90" s="34">
        <f>IF(B90="-","",VLOOKUP(B90,DATOS!$I$3:$K$200,2,FALSE))</f>
        <v>2399</v>
      </c>
      <c r="D90" s="35" t="str">
        <f>IF(B90="-","",CONCATENATE(VLOOKUP(C90,DATOS!$J$3:$K$200,2,FALSE)," ml"))</f>
        <v>50 ml</v>
      </c>
      <c r="E90" s="35" t="s">
        <v>8</v>
      </c>
      <c r="F90" s="36">
        <v>2</v>
      </c>
      <c r="G90" s="36">
        <f>IF(B90="-","",IF(E90="caja",VLOOKUP(B90,DATOS!$I$3:$AC$137,21,FALSE),F90))</f>
        <v>2</v>
      </c>
      <c r="H90" s="36">
        <f t="shared" si="6"/>
        <v>2</v>
      </c>
      <c r="I90" s="36">
        <f>IF(B90="-","",VLOOKUP(B90,DATOS!$I$3:$S$138,4,FALSE))</f>
        <v>7.75</v>
      </c>
      <c r="J90" s="64">
        <f t="shared" si="7"/>
        <v>15.5</v>
      </c>
      <c r="K90" s="39"/>
      <c r="M90" s="36">
        <f>IF(B90="-","",VLOOKUP(B90,DATOS!$I$3:$AF$138,24,FALSE))</f>
        <v>5.5000000000000007E-2</v>
      </c>
      <c r="N90" s="30" t="s">
        <v>18</v>
      </c>
      <c r="O90" s="30">
        <f t="shared" si="8"/>
        <v>0.11000000000000001</v>
      </c>
    </row>
    <row r="91" spans="1:15" s="30" customFormat="1" ht="15" customHeight="1" x14ac:dyDescent="0.3">
      <c r="A91" s="92" t="s">
        <v>348</v>
      </c>
      <c r="B91" s="63" t="s">
        <v>186</v>
      </c>
      <c r="C91" s="34">
        <f>IF(B91="-","",VLOOKUP(B91,DATOS!$I$3:$K$200,2,FALSE))</f>
        <v>2006</v>
      </c>
      <c r="D91" s="35" t="str">
        <f>IF(B91="-","",CONCATENATE(VLOOKUP(C91,DATOS!$J$3:$K$200,2,FALSE)," ml"))</f>
        <v>- ml</v>
      </c>
      <c r="E91" s="35" t="s">
        <v>8</v>
      </c>
      <c r="F91" s="36">
        <v>1</v>
      </c>
      <c r="G91" s="36">
        <f>IF(B91="-","",IF(E91="caja",VLOOKUP(B91,DATOS!$I$3:$AC$137,21,FALSE),F91))</f>
        <v>1</v>
      </c>
      <c r="H91" s="36">
        <f t="shared" si="6"/>
        <v>1</v>
      </c>
      <c r="I91" s="36">
        <f>IF(B91="-","",VLOOKUP(B91,DATOS!$I$3:$S$138,4,FALSE))</f>
        <v>87.45</v>
      </c>
      <c r="J91" s="64">
        <f t="shared" si="7"/>
        <v>87.45</v>
      </c>
      <c r="K91" s="39"/>
      <c r="M91" s="36">
        <f>IF(B91="-","",VLOOKUP(B91,DATOS!$I$3:$AF$138,24,FALSE))</f>
        <v>1.1000000000000001</v>
      </c>
      <c r="N91" s="30" t="s">
        <v>18</v>
      </c>
      <c r="O91" s="30">
        <f t="shared" si="8"/>
        <v>1.1000000000000001</v>
      </c>
    </row>
    <row r="92" spans="1:15" s="30" customFormat="1" ht="15" customHeight="1" thickBot="1" x14ac:dyDescent="0.35">
      <c r="A92" s="92" t="s">
        <v>348</v>
      </c>
      <c r="B92" s="63" t="s">
        <v>334</v>
      </c>
      <c r="C92" s="34" t="str">
        <f>IF(B92="-","",VLOOKUP(B92,DATOS!$I$3:$K$200,2,FALSE))</f>
        <v>20648-08</v>
      </c>
      <c r="D92" s="35" t="str">
        <f>IF(B92="-","",CONCATENATE(VLOOKUP(C92,DATOS!$J$3:$K$200,2,FALSE)," ml"))</f>
        <v>- ml</v>
      </c>
      <c r="E92" s="35" t="s">
        <v>8</v>
      </c>
      <c r="F92" s="36">
        <v>12</v>
      </c>
      <c r="G92" s="36">
        <f>IF(B92="-","",IF(E92="caja",VLOOKUP(B92,DATOS!$I$3:$AC$137,21,FALSE),F92))</f>
        <v>12</v>
      </c>
      <c r="H92" s="36">
        <f t="shared" si="6"/>
        <v>12</v>
      </c>
      <c r="I92" s="36">
        <f>IF(B92="-","",VLOOKUP(B92,DATOS!$I$3:$S$138,4,FALSE))</f>
        <v>0.95</v>
      </c>
      <c r="J92" s="64">
        <f t="shared" si="7"/>
        <v>11.399999999999999</v>
      </c>
      <c r="K92" s="39"/>
      <c r="M92" s="36">
        <f>IF(B92="-","",VLOOKUP(B92,DATOS!$I$3:$AF$138,24,FALSE))</f>
        <v>0.11000000000000001</v>
      </c>
      <c r="N92" s="30" t="s">
        <v>18</v>
      </c>
      <c r="O92" s="30">
        <f t="shared" si="8"/>
        <v>1.3200000000000003</v>
      </c>
    </row>
    <row r="93" spans="1:15" s="30" customFormat="1" ht="19.95" customHeight="1" thickBot="1" x14ac:dyDescent="0.35">
      <c r="B93" s="37"/>
      <c r="C93" s="37"/>
      <c r="D93" s="37"/>
      <c r="E93" s="38"/>
      <c r="F93" s="39"/>
      <c r="G93" s="39"/>
      <c r="H93" s="39"/>
      <c r="I93" s="90" t="s">
        <v>321</v>
      </c>
      <c r="J93" s="69">
        <f>SUM(J65:J92)</f>
        <v>766.85</v>
      </c>
      <c r="K93" s="50"/>
    </row>
    <row r="94" spans="1:15" s="31" customFormat="1" ht="24.9" customHeight="1" thickBot="1" x14ac:dyDescent="0.35">
      <c r="B94" s="94" t="s">
        <v>247</v>
      </c>
      <c r="C94" s="95"/>
      <c r="D94" s="95"/>
      <c r="E94" s="95"/>
      <c r="F94" s="95"/>
      <c r="G94" s="95"/>
      <c r="H94" s="96"/>
      <c r="I94" s="75" t="s">
        <v>253</v>
      </c>
      <c r="J94" s="76" t="str">
        <f>J8</f>
        <v>2025-0001</v>
      </c>
      <c r="K94" s="49"/>
    </row>
    <row r="95" spans="1:15" s="31" customFormat="1" ht="15" customHeight="1" x14ac:dyDescent="0.3">
      <c r="B95" s="78" t="s">
        <v>4</v>
      </c>
      <c r="C95" s="79" t="s">
        <v>261</v>
      </c>
      <c r="D95" s="79" t="s">
        <v>250</v>
      </c>
      <c r="E95" s="79" t="s">
        <v>1</v>
      </c>
      <c r="F95" s="79" t="s">
        <v>251</v>
      </c>
      <c r="G95" s="79"/>
      <c r="H95" s="79" t="s">
        <v>2</v>
      </c>
      <c r="I95" s="79" t="s">
        <v>262</v>
      </c>
      <c r="J95" s="80" t="s">
        <v>273</v>
      </c>
      <c r="K95" s="49"/>
    </row>
    <row r="96" spans="1:15" s="30" customFormat="1" ht="15" customHeight="1" x14ac:dyDescent="0.3">
      <c r="A96" s="92" t="s">
        <v>348</v>
      </c>
      <c r="B96" s="63" t="s">
        <v>335</v>
      </c>
      <c r="C96" s="71" t="str">
        <f>IF(B96="-","",VLOOKUP(B96,DATOS!$I$3:$K$200,2,FALSE))</f>
        <v>20648-09</v>
      </c>
      <c r="D96" s="72" t="str">
        <f>IF(B96="-","",CONCATENATE(VLOOKUP(C96,DATOS!$J$3:$K$200,2,FALSE)," ml"))</f>
        <v>- ml</v>
      </c>
      <c r="E96" s="72" t="s">
        <v>8</v>
      </c>
      <c r="F96" s="73">
        <v>12</v>
      </c>
      <c r="G96" s="73">
        <f>IF(B96="-","",IF(E96="caja",VLOOKUP(B96,DATOS!$I$3:$AC$137,21,FALSE),F96))</f>
        <v>12</v>
      </c>
      <c r="H96" s="73">
        <f t="shared" ref="H96:H123" si="9">IF(B96="-","",IF(E96="caja",F96*G96,F96))</f>
        <v>12</v>
      </c>
      <c r="I96" s="73">
        <f>IF(B96="-","",VLOOKUP(B96,DATOS!$I$3:$S$138,4,FALSE))</f>
        <v>0.95</v>
      </c>
      <c r="J96" s="74">
        <f t="shared" ref="J96:J123" si="10">IF(B96="-","",H96*I96)</f>
        <v>11.399999999999999</v>
      </c>
      <c r="K96" s="39"/>
      <c r="M96" s="36">
        <f>IF(B96="-","",VLOOKUP(B96,DATOS!$I$3:$AF$138,24,FALSE))</f>
        <v>0.11000000000000001</v>
      </c>
      <c r="N96" s="30" t="s">
        <v>18</v>
      </c>
      <c r="O96" s="30">
        <f>IF(H96="",0,M96*H96)</f>
        <v>1.3200000000000003</v>
      </c>
    </row>
    <row r="97" spans="1:15" s="30" customFormat="1" ht="15" customHeight="1" x14ac:dyDescent="0.3">
      <c r="A97" s="92" t="s">
        <v>342</v>
      </c>
      <c r="B97" s="63" t="s">
        <v>336</v>
      </c>
      <c r="C97" s="34" t="str">
        <f>IF(B97="-","",VLOOKUP(B97,DATOS!$I$3:$K$200,2,FALSE))</f>
        <v>20648-10</v>
      </c>
      <c r="D97" s="35" t="str">
        <f>IF(B97="-","",CONCATENATE(VLOOKUP(C97,DATOS!$J$3:$K$200,2,FALSE)," ml"))</f>
        <v>- ml</v>
      </c>
      <c r="E97" s="35" t="s">
        <v>8</v>
      </c>
      <c r="F97" s="36">
        <v>12</v>
      </c>
      <c r="G97" s="36">
        <f>IF(B97="-","",IF(E97="caja",VLOOKUP(B97,DATOS!$I$3:$AC$137,21,FALSE),F97))</f>
        <v>12</v>
      </c>
      <c r="H97" s="36">
        <f t="shared" si="9"/>
        <v>12</v>
      </c>
      <c r="I97" s="36">
        <f>IF(B97="-","",VLOOKUP(B97,DATOS!$I$3:$S$138,4,FALSE))</f>
        <v>0.95</v>
      </c>
      <c r="J97" s="64">
        <f t="shared" si="10"/>
        <v>11.399999999999999</v>
      </c>
      <c r="K97" s="39"/>
      <c r="M97" s="36">
        <f>IF(B97="-","",VLOOKUP(B97,DATOS!$I$3:$AF$138,24,FALSE))</f>
        <v>0.11000000000000001</v>
      </c>
      <c r="N97" s="30" t="s">
        <v>18</v>
      </c>
      <c r="O97" s="30">
        <f t="shared" ref="O97:O123" si="11">IF(H97="",0,M97*H97)</f>
        <v>1.3200000000000003</v>
      </c>
    </row>
    <row r="98" spans="1:15" s="30" customFormat="1" ht="15" customHeight="1" x14ac:dyDescent="0.3">
      <c r="A98" s="92" t="s">
        <v>343</v>
      </c>
      <c r="B98" s="63" t="s">
        <v>246</v>
      </c>
      <c r="C98" s="34" t="str">
        <f>IF(B98="-","",VLOOKUP(B98,DATOS!$I$3:$K$200,2,FALSE))</f>
        <v/>
      </c>
      <c r="D98" s="35" t="str">
        <f>IF(B98="-","",CONCATENATE(VLOOKUP(C98,DATOS!$J$3:$K$200,2,FALSE)," ml"))</f>
        <v/>
      </c>
      <c r="E98" s="35"/>
      <c r="F98" s="36"/>
      <c r="G98" s="36" t="str">
        <f>IF(B98="-","",IF(E98="caja",VLOOKUP(B98,DATOS!$I$3:$AC$137,21,FALSE),F98))</f>
        <v/>
      </c>
      <c r="H98" s="36" t="str">
        <f t="shared" si="9"/>
        <v/>
      </c>
      <c r="I98" s="36" t="str">
        <f>IF(B98="-","",VLOOKUP(B98,DATOS!$I$3:$S$138,4,FALSE))</f>
        <v/>
      </c>
      <c r="J98" s="64" t="str">
        <f t="shared" si="10"/>
        <v/>
      </c>
      <c r="K98" s="39"/>
      <c r="M98" s="36" t="str">
        <f>IF(B98="-","",VLOOKUP(B98,DATOS!$I$3:$AF$138,24,FALSE))</f>
        <v/>
      </c>
      <c r="N98" s="30" t="s">
        <v>18</v>
      </c>
      <c r="O98" s="30">
        <f t="shared" si="11"/>
        <v>0</v>
      </c>
    </row>
    <row r="99" spans="1:15" s="30" customFormat="1" ht="15" customHeight="1" x14ac:dyDescent="0.3">
      <c r="A99" s="92" t="s">
        <v>347</v>
      </c>
      <c r="B99" s="63" t="s">
        <v>246</v>
      </c>
      <c r="C99" s="34" t="str">
        <f>IF(B99="-","",VLOOKUP(B99,DATOS!$I$3:$K$200,2,FALSE))</f>
        <v/>
      </c>
      <c r="D99" s="35" t="str">
        <f>IF(B99="-","",CONCATENATE(VLOOKUP(C99,DATOS!$J$3:$K$200,2,FALSE)," ml"))</f>
        <v/>
      </c>
      <c r="E99" s="35"/>
      <c r="F99" s="36"/>
      <c r="G99" s="36" t="str">
        <f>IF(B99="-","",IF(E99="caja",VLOOKUP(B99,DATOS!$I$3:$AC$137,21,FALSE),F99))</f>
        <v/>
      </c>
      <c r="H99" s="36" t="str">
        <f t="shared" si="9"/>
        <v/>
      </c>
      <c r="I99" s="36" t="str">
        <f>IF(B99="-","",VLOOKUP(B99,DATOS!$I$3:$S$138,4,FALSE))</f>
        <v/>
      </c>
      <c r="J99" s="64" t="str">
        <f t="shared" si="10"/>
        <v/>
      </c>
      <c r="K99" s="39"/>
      <c r="M99" s="36" t="str">
        <f>IF(B99="-","",VLOOKUP(B99,DATOS!$I$3:$AF$138,24,FALSE))</f>
        <v/>
      </c>
      <c r="N99" s="30" t="s">
        <v>18</v>
      </c>
      <c r="O99" s="30">
        <f t="shared" si="11"/>
        <v>0</v>
      </c>
    </row>
    <row r="100" spans="1:15" s="30" customFormat="1" ht="15" customHeight="1" x14ac:dyDescent="0.3">
      <c r="A100" s="92" t="s">
        <v>350</v>
      </c>
      <c r="B100" s="63" t="s">
        <v>246</v>
      </c>
      <c r="C100" s="34" t="str">
        <f>IF(B100="-","",VLOOKUP(B100,DATOS!$I$3:$K$200,2,FALSE))</f>
        <v/>
      </c>
      <c r="D100" s="35" t="str">
        <f>IF(B100="-","",CONCATENATE(VLOOKUP(C100,DATOS!$J$3:$K$200,2,FALSE)," ml"))</f>
        <v/>
      </c>
      <c r="E100" s="35"/>
      <c r="F100" s="36"/>
      <c r="G100" s="36" t="str">
        <f>IF(B100="-","",IF(E100="caja",VLOOKUP(B100,DATOS!$I$3:$AC$137,21,FALSE),F100))</f>
        <v/>
      </c>
      <c r="H100" s="36" t="str">
        <f t="shared" si="9"/>
        <v/>
      </c>
      <c r="I100" s="36" t="str">
        <f>IF(B100="-","",VLOOKUP(B100,DATOS!$I$3:$S$138,4,FALSE))</f>
        <v/>
      </c>
      <c r="J100" s="64" t="str">
        <f t="shared" si="10"/>
        <v/>
      </c>
      <c r="K100" s="39"/>
      <c r="M100" s="36" t="str">
        <f>IF(B100="-","",VLOOKUP(B100,DATOS!$I$3:$AF$138,24,FALSE))</f>
        <v/>
      </c>
      <c r="N100" s="30" t="s">
        <v>18</v>
      </c>
      <c r="O100" s="30">
        <f t="shared" si="11"/>
        <v>0</v>
      </c>
    </row>
    <row r="101" spans="1:15" s="30" customFormat="1" ht="15" customHeight="1" x14ac:dyDescent="0.3">
      <c r="A101" s="92" t="s">
        <v>348</v>
      </c>
      <c r="B101" s="63" t="s">
        <v>246</v>
      </c>
      <c r="C101" s="34" t="str">
        <f>IF(B101="-","",VLOOKUP(B101,DATOS!$I$3:$K$200,2,FALSE))</f>
        <v/>
      </c>
      <c r="D101" s="35" t="str">
        <f>IF(B101="-","",CONCATENATE(VLOOKUP(C101,DATOS!$J$3:$K$200,2,FALSE)," ml"))</f>
        <v/>
      </c>
      <c r="E101" s="35"/>
      <c r="F101" s="36"/>
      <c r="G101" s="36" t="str">
        <f>IF(B101="-","",IF(E101="caja",VLOOKUP(B101,DATOS!$I$3:$AC$137,21,FALSE),F101))</f>
        <v/>
      </c>
      <c r="H101" s="36" t="str">
        <f t="shared" si="9"/>
        <v/>
      </c>
      <c r="I101" s="36" t="str">
        <f>IF(B101="-","",VLOOKUP(B101,DATOS!$I$3:$S$138,4,FALSE))</f>
        <v/>
      </c>
      <c r="J101" s="64" t="str">
        <f t="shared" si="10"/>
        <v/>
      </c>
      <c r="K101" s="39"/>
      <c r="M101" s="36" t="str">
        <f>IF(B101="-","",VLOOKUP(B101,DATOS!$I$3:$AF$138,24,FALSE))</f>
        <v/>
      </c>
      <c r="N101" s="30" t="s">
        <v>18</v>
      </c>
      <c r="O101" s="30">
        <f t="shared" si="11"/>
        <v>0</v>
      </c>
    </row>
    <row r="102" spans="1:15" s="30" customFormat="1" ht="15" customHeight="1" x14ac:dyDescent="0.3">
      <c r="A102" s="92" t="s">
        <v>348</v>
      </c>
      <c r="B102" s="63" t="s">
        <v>246</v>
      </c>
      <c r="C102" s="34" t="str">
        <f>IF(B102="-","",VLOOKUP(B102,DATOS!$I$3:$K$200,2,FALSE))</f>
        <v/>
      </c>
      <c r="D102" s="35" t="str">
        <f>IF(B102="-","",CONCATENATE(VLOOKUP(C102,DATOS!$J$3:$K$200,2,FALSE)," ml"))</f>
        <v/>
      </c>
      <c r="E102" s="35"/>
      <c r="F102" s="36"/>
      <c r="G102" s="36" t="str">
        <f>IF(B102="-","",IF(E102="caja",VLOOKUP(B102,DATOS!$I$3:$AC$137,21,FALSE),F102))</f>
        <v/>
      </c>
      <c r="H102" s="36" t="str">
        <f t="shared" si="9"/>
        <v/>
      </c>
      <c r="I102" s="36" t="str">
        <f>IF(B102="-","",VLOOKUP(B102,DATOS!$I$3:$S$138,4,FALSE))</f>
        <v/>
      </c>
      <c r="J102" s="64" t="str">
        <f t="shared" si="10"/>
        <v/>
      </c>
      <c r="K102" s="39"/>
      <c r="M102" s="36" t="str">
        <f>IF(B102="-","",VLOOKUP(B102,DATOS!$I$3:$AF$138,24,FALSE))</f>
        <v/>
      </c>
      <c r="N102" s="30" t="s">
        <v>18</v>
      </c>
      <c r="O102" s="30">
        <f t="shared" si="11"/>
        <v>0</v>
      </c>
    </row>
    <row r="103" spans="1:15" s="30" customFormat="1" ht="15" customHeight="1" x14ac:dyDescent="0.3">
      <c r="A103" s="92" t="s">
        <v>348</v>
      </c>
      <c r="B103" s="63" t="s">
        <v>246</v>
      </c>
      <c r="C103" s="34" t="str">
        <f>IF(B103="-","",VLOOKUP(B103,DATOS!$I$3:$K$200,2,FALSE))</f>
        <v/>
      </c>
      <c r="D103" s="35" t="str">
        <f>IF(B103="-","",CONCATENATE(VLOOKUP(C103,DATOS!$J$3:$K$200,2,FALSE)," ml"))</f>
        <v/>
      </c>
      <c r="E103" s="35"/>
      <c r="F103" s="36"/>
      <c r="G103" s="36" t="str">
        <f>IF(B103="-","",IF(E103="caja",VLOOKUP(B103,DATOS!$I$3:$AC$137,21,FALSE),F103))</f>
        <v/>
      </c>
      <c r="H103" s="36" t="str">
        <f t="shared" si="9"/>
        <v/>
      </c>
      <c r="I103" s="36" t="str">
        <f>IF(B103="-","",VLOOKUP(B103,DATOS!$I$3:$S$138,4,FALSE))</f>
        <v/>
      </c>
      <c r="J103" s="64" t="str">
        <f t="shared" si="10"/>
        <v/>
      </c>
      <c r="K103" s="39"/>
      <c r="M103" s="36" t="str">
        <f>IF(B103="-","",VLOOKUP(B103,DATOS!$I$3:$AF$138,24,FALSE))</f>
        <v/>
      </c>
      <c r="N103" s="30" t="s">
        <v>18</v>
      </c>
      <c r="O103" s="30">
        <f t="shared" si="11"/>
        <v>0</v>
      </c>
    </row>
    <row r="104" spans="1:15" s="30" customFormat="1" ht="15" customHeight="1" x14ac:dyDescent="0.3">
      <c r="A104" s="92" t="s">
        <v>348</v>
      </c>
      <c r="B104" s="63" t="s">
        <v>246</v>
      </c>
      <c r="C104" s="34" t="str">
        <f>IF(B104="-","",VLOOKUP(B104,DATOS!$I$3:$K$200,2,FALSE))</f>
        <v/>
      </c>
      <c r="D104" s="35" t="str">
        <f>IF(B104="-","",CONCATENATE(VLOOKUP(C104,DATOS!$J$3:$K$200,2,FALSE)," ml"))</f>
        <v/>
      </c>
      <c r="E104" s="35"/>
      <c r="F104" s="36"/>
      <c r="G104" s="36" t="str">
        <f>IF(B104="-","",IF(E104="caja",VLOOKUP(B104,DATOS!$I$3:$AC$137,21,FALSE),F104))</f>
        <v/>
      </c>
      <c r="H104" s="36" t="str">
        <f t="shared" si="9"/>
        <v/>
      </c>
      <c r="I104" s="36" t="str">
        <f>IF(B104="-","",VLOOKUP(B104,DATOS!$I$3:$S$138,4,FALSE))</f>
        <v/>
      </c>
      <c r="J104" s="64" t="str">
        <f t="shared" si="10"/>
        <v/>
      </c>
      <c r="K104" s="39"/>
      <c r="M104" s="36" t="str">
        <f>IF(B104="-","",VLOOKUP(B104,DATOS!$I$3:$AF$138,24,FALSE))</f>
        <v/>
      </c>
      <c r="N104" s="30" t="s">
        <v>18</v>
      </c>
      <c r="O104" s="30">
        <f t="shared" si="11"/>
        <v>0</v>
      </c>
    </row>
    <row r="105" spans="1:15" s="30" customFormat="1" ht="15" customHeight="1" x14ac:dyDescent="0.3">
      <c r="A105" s="92" t="s">
        <v>348</v>
      </c>
      <c r="B105" s="63" t="s">
        <v>246</v>
      </c>
      <c r="C105" s="34" t="str">
        <f>IF(B105="-","",VLOOKUP(B105,DATOS!$I$3:$K$200,2,FALSE))</f>
        <v/>
      </c>
      <c r="D105" s="35" t="str">
        <f>IF(B105="-","",CONCATENATE(VLOOKUP(C105,DATOS!$J$3:$K$200,2,FALSE)," ml"))</f>
        <v/>
      </c>
      <c r="E105" s="35"/>
      <c r="F105" s="36"/>
      <c r="G105" s="36" t="str">
        <f>IF(B105="-","",IF(E105="caja",VLOOKUP(B105,DATOS!$I$3:$AC$137,21,FALSE),F105))</f>
        <v/>
      </c>
      <c r="H105" s="36" t="str">
        <f t="shared" si="9"/>
        <v/>
      </c>
      <c r="I105" s="36" t="str">
        <f>IF(B105="-","",VLOOKUP(B105,DATOS!$I$3:$S$138,4,FALSE))</f>
        <v/>
      </c>
      <c r="J105" s="64" t="str">
        <f t="shared" si="10"/>
        <v/>
      </c>
      <c r="K105" s="39"/>
      <c r="M105" s="36" t="str">
        <f>IF(B105="-","",VLOOKUP(B105,DATOS!$I$3:$AF$138,24,FALSE))</f>
        <v/>
      </c>
      <c r="N105" s="30" t="s">
        <v>18</v>
      </c>
      <c r="O105" s="30">
        <f t="shared" si="11"/>
        <v>0</v>
      </c>
    </row>
    <row r="106" spans="1:15" s="30" customFormat="1" ht="15" customHeight="1" x14ac:dyDescent="0.3">
      <c r="A106" s="92" t="s">
        <v>348</v>
      </c>
      <c r="B106" s="63" t="s">
        <v>246</v>
      </c>
      <c r="C106" s="34" t="str">
        <f>IF(B106="-","",VLOOKUP(B106,DATOS!$I$3:$K$200,2,FALSE))</f>
        <v/>
      </c>
      <c r="D106" s="35" t="str">
        <f>IF(B106="-","",CONCATENATE(VLOOKUP(C106,DATOS!$J$3:$K$200,2,FALSE)," ml"))</f>
        <v/>
      </c>
      <c r="E106" s="35"/>
      <c r="F106" s="36"/>
      <c r="G106" s="36" t="str">
        <f>IF(B106="-","",IF(E106="caja",VLOOKUP(B106,DATOS!$I$3:$AC$137,21,FALSE),F106))</f>
        <v/>
      </c>
      <c r="H106" s="36" t="str">
        <f t="shared" si="9"/>
        <v/>
      </c>
      <c r="I106" s="36" t="str">
        <f>IF(B106="-","",VLOOKUP(B106,DATOS!$I$3:$S$138,4,FALSE))</f>
        <v/>
      </c>
      <c r="J106" s="64" t="str">
        <f t="shared" si="10"/>
        <v/>
      </c>
      <c r="K106" s="39"/>
      <c r="M106" s="36" t="str">
        <f>IF(B106="-","",VLOOKUP(B106,DATOS!$I$3:$AF$138,24,FALSE))</f>
        <v/>
      </c>
      <c r="N106" s="30" t="s">
        <v>18</v>
      </c>
      <c r="O106" s="30">
        <f t="shared" si="11"/>
        <v>0</v>
      </c>
    </row>
    <row r="107" spans="1:15" s="30" customFormat="1" ht="15" customHeight="1" x14ac:dyDescent="0.3">
      <c r="A107" s="92" t="s">
        <v>348</v>
      </c>
      <c r="B107" s="63" t="s">
        <v>246</v>
      </c>
      <c r="C107" s="34" t="str">
        <f>IF(B107="-","",VLOOKUP(B107,DATOS!$I$3:$K$200,2,FALSE))</f>
        <v/>
      </c>
      <c r="D107" s="35" t="str">
        <f>IF(B107="-","",CONCATENATE(VLOOKUP(C107,DATOS!$J$3:$K$200,2,FALSE)," ml"))</f>
        <v/>
      </c>
      <c r="E107" s="35"/>
      <c r="F107" s="36"/>
      <c r="G107" s="36" t="str">
        <f>IF(B107="-","",IF(E107="caja",VLOOKUP(B107,DATOS!$I$3:$AC$137,21,FALSE),F107))</f>
        <v/>
      </c>
      <c r="H107" s="36" t="str">
        <f t="shared" si="9"/>
        <v/>
      </c>
      <c r="I107" s="36" t="str">
        <f>IF(B107="-","",VLOOKUP(B107,DATOS!$I$3:$S$138,4,FALSE))</f>
        <v/>
      </c>
      <c r="J107" s="64" t="str">
        <f t="shared" si="10"/>
        <v/>
      </c>
      <c r="K107" s="39"/>
      <c r="M107" s="36" t="str">
        <f>IF(B107="-","",VLOOKUP(B107,DATOS!$I$3:$AF$138,24,FALSE))</f>
        <v/>
      </c>
      <c r="N107" s="30" t="s">
        <v>18</v>
      </c>
      <c r="O107" s="30">
        <f t="shared" si="11"/>
        <v>0</v>
      </c>
    </row>
    <row r="108" spans="1:15" s="30" customFormat="1" ht="15" customHeight="1" x14ac:dyDescent="0.3">
      <c r="A108" s="92" t="s">
        <v>348</v>
      </c>
      <c r="B108" s="63" t="s">
        <v>246</v>
      </c>
      <c r="C108" s="34" t="str">
        <f>IF(B108="-","",VLOOKUP(B108,DATOS!$I$3:$K$200,2,FALSE))</f>
        <v/>
      </c>
      <c r="D108" s="35" t="str">
        <f>IF(B108="-","",CONCATENATE(VLOOKUP(C108,DATOS!$J$3:$K$200,2,FALSE)," ml"))</f>
        <v/>
      </c>
      <c r="E108" s="35"/>
      <c r="F108" s="36"/>
      <c r="G108" s="36" t="str">
        <f>IF(B108="-","",IF(E108="caja",VLOOKUP(B108,DATOS!$I$3:$AC$137,21,FALSE),F108))</f>
        <v/>
      </c>
      <c r="H108" s="36" t="str">
        <f t="shared" si="9"/>
        <v/>
      </c>
      <c r="I108" s="36" t="str">
        <f>IF(B108="-","",VLOOKUP(B108,DATOS!$I$3:$S$138,4,FALSE))</f>
        <v/>
      </c>
      <c r="J108" s="64" t="str">
        <f t="shared" si="10"/>
        <v/>
      </c>
      <c r="K108" s="39"/>
      <c r="M108" s="36" t="str">
        <f>IF(B108="-","",VLOOKUP(B108,DATOS!$I$3:$AF$138,24,FALSE))</f>
        <v/>
      </c>
      <c r="N108" s="30" t="s">
        <v>18</v>
      </c>
      <c r="O108" s="30">
        <f t="shared" si="11"/>
        <v>0</v>
      </c>
    </row>
    <row r="109" spans="1:15" s="30" customFormat="1" ht="15" customHeight="1" x14ac:dyDescent="0.3">
      <c r="A109" s="92" t="s">
        <v>348</v>
      </c>
      <c r="B109" s="63" t="s">
        <v>246</v>
      </c>
      <c r="C109" s="34" t="str">
        <f>IF(B109="-","",VLOOKUP(B109,DATOS!$I$3:$K$200,2,FALSE))</f>
        <v/>
      </c>
      <c r="D109" s="35" t="str">
        <f>IF(B109="-","",CONCATENATE(VLOOKUP(C109,DATOS!$J$3:$K$200,2,FALSE)," ml"))</f>
        <v/>
      </c>
      <c r="E109" s="35"/>
      <c r="F109" s="36"/>
      <c r="G109" s="36" t="str">
        <f>IF(B109="-","",IF(E109="caja",VLOOKUP(B109,DATOS!$I$3:$AC$137,21,FALSE),F109))</f>
        <v/>
      </c>
      <c r="H109" s="36" t="str">
        <f t="shared" si="9"/>
        <v/>
      </c>
      <c r="I109" s="36" t="str">
        <f>IF(B109="-","",VLOOKUP(B109,DATOS!$I$3:$S$138,4,FALSE))</f>
        <v/>
      </c>
      <c r="J109" s="64" t="str">
        <f t="shared" si="10"/>
        <v/>
      </c>
      <c r="K109" s="39"/>
      <c r="M109" s="36" t="str">
        <f>IF(B109="-","",VLOOKUP(B109,DATOS!$I$3:$AF$138,24,FALSE))</f>
        <v/>
      </c>
      <c r="N109" s="30" t="s">
        <v>18</v>
      </c>
      <c r="O109" s="30">
        <f t="shared" si="11"/>
        <v>0</v>
      </c>
    </row>
    <row r="110" spans="1:15" s="30" customFormat="1" ht="15" customHeight="1" x14ac:dyDescent="0.3">
      <c r="A110" s="92" t="s">
        <v>348</v>
      </c>
      <c r="B110" s="63" t="s">
        <v>246</v>
      </c>
      <c r="C110" s="34" t="str">
        <f>IF(B110="-","",VLOOKUP(B110,DATOS!$I$3:$K$200,2,FALSE))</f>
        <v/>
      </c>
      <c r="D110" s="35" t="str">
        <f>IF(B110="-","",CONCATENATE(VLOOKUP(C110,DATOS!$J$3:$K$200,2,FALSE)," ml"))</f>
        <v/>
      </c>
      <c r="E110" s="35"/>
      <c r="F110" s="36"/>
      <c r="G110" s="36" t="str">
        <f>IF(B110="-","",IF(E110="caja",VLOOKUP(B110,DATOS!$I$3:$AC$137,21,FALSE),F110))</f>
        <v/>
      </c>
      <c r="H110" s="36" t="str">
        <f t="shared" si="9"/>
        <v/>
      </c>
      <c r="I110" s="36" t="str">
        <f>IF(B110="-","",VLOOKUP(B110,DATOS!$I$3:$S$138,4,FALSE))</f>
        <v/>
      </c>
      <c r="J110" s="64" t="str">
        <f t="shared" si="10"/>
        <v/>
      </c>
      <c r="K110" s="39"/>
      <c r="M110" s="36" t="str">
        <f>IF(B110="-","",VLOOKUP(B110,DATOS!$I$3:$AF$138,24,FALSE))</f>
        <v/>
      </c>
      <c r="N110" s="30" t="s">
        <v>18</v>
      </c>
      <c r="O110" s="30">
        <f t="shared" si="11"/>
        <v>0</v>
      </c>
    </row>
    <row r="111" spans="1:15" s="30" customFormat="1" ht="15" customHeight="1" x14ac:dyDescent="0.3">
      <c r="A111" s="92" t="s">
        <v>348</v>
      </c>
      <c r="B111" s="63" t="s">
        <v>246</v>
      </c>
      <c r="C111" s="34" t="str">
        <f>IF(B111="-","",VLOOKUP(B111,DATOS!$I$3:$K$200,2,FALSE))</f>
        <v/>
      </c>
      <c r="D111" s="35" t="str">
        <f>IF(B111="-","",CONCATENATE(VLOOKUP(C111,DATOS!$J$3:$K$200,2,FALSE)," ml"))</f>
        <v/>
      </c>
      <c r="E111" s="35"/>
      <c r="F111" s="36"/>
      <c r="G111" s="36" t="str">
        <f>IF(B111="-","",IF(E111="caja",VLOOKUP(B111,DATOS!$I$3:$AC$137,21,FALSE),F111))</f>
        <v/>
      </c>
      <c r="H111" s="36" t="str">
        <f t="shared" si="9"/>
        <v/>
      </c>
      <c r="I111" s="36" t="str">
        <f>IF(B111="-","",VLOOKUP(B111,DATOS!$I$3:$S$138,4,FALSE))</f>
        <v/>
      </c>
      <c r="J111" s="64" t="str">
        <f t="shared" si="10"/>
        <v/>
      </c>
      <c r="K111" s="39"/>
      <c r="M111" s="36" t="str">
        <f>IF(B111="-","",VLOOKUP(B111,DATOS!$I$3:$AF$138,24,FALSE))</f>
        <v/>
      </c>
      <c r="N111" s="30" t="s">
        <v>18</v>
      </c>
      <c r="O111" s="30">
        <f t="shared" si="11"/>
        <v>0</v>
      </c>
    </row>
    <row r="112" spans="1:15" s="30" customFormat="1" ht="15" customHeight="1" x14ac:dyDescent="0.3">
      <c r="A112" s="92" t="s">
        <v>348</v>
      </c>
      <c r="B112" s="63" t="s">
        <v>246</v>
      </c>
      <c r="C112" s="34" t="str">
        <f>IF(B112="-","",VLOOKUP(B112,DATOS!$I$3:$K$200,2,FALSE))</f>
        <v/>
      </c>
      <c r="D112" s="35" t="str">
        <f>IF(B112="-","",CONCATENATE(VLOOKUP(C112,DATOS!$J$3:$K$200,2,FALSE)," ml"))</f>
        <v/>
      </c>
      <c r="E112" s="35"/>
      <c r="F112" s="36"/>
      <c r="G112" s="36" t="str">
        <f>IF(B112="-","",IF(E112="caja",VLOOKUP(B112,DATOS!$I$3:$AC$137,21,FALSE),F112))</f>
        <v/>
      </c>
      <c r="H112" s="36" t="str">
        <f t="shared" si="9"/>
        <v/>
      </c>
      <c r="I112" s="36" t="str">
        <f>IF(B112="-","",VLOOKUP(B112,DATOS!$I$3:$S$138,4,FALSE))</f>
        <v/>
      </c>
      <c r="J112" s="64" t="str">
        <f t="shared" si="10"/>
        <v/>
      </c>
      <c r="K112" s="39"/>
      <c r="M112" s="36" t="str">
        <f>IF(B112="-","",VLOOKUP(B112,DATOS!$I$3:$AF$138,24,FALSE))</f>
        <v/>
      </c>
      <c r="N112" s="30" t="s">
        <v>18</v>
      </c>
      <c r="O112" s="30">
        <f t="shared" si="11"/>
        <v>0</v>
      </c>
    </row>
    <row r="113" spans="1:15" s="30" customFormat="1" ht="15" customHeight="1" x14ac:dyDescent="0.3">
      <c r="A113" s="92" t="s">
        <v>342</v>
      </c>
      <c r="B113" s="63" t="s">
        <v>246</v>
      </c>
      <c r="C113" s="34" t="str">
        <f>IF(B113="-","",VLOOKUP(B113,DATOS!$I$3:$K$200,2,FALSE))</f>
        <v/>
      </c>
      <c r="D113" s="35" t="str">
        <f>IF(B113="-","",CONCATENATE(VLOOKUP(C113,DATOS!$J$3:$K$200,2,FALSE)," ml"))</f>
        <v/>
      </c>
      <c r="E113" s="35"/>
      <c r="F113" s="36"/>
      <c r="G113" s="36" t="str">
        <f>IF(B113="-","",IF(E113="caja",VLOOKUP(B113,DATOS!$I$3:$AC$137,21,FALSE),F113))</f>
        <v/>
      </c>
      <c r="H113" s="36" t="str">
        <f t="shared" si="9"/>
        <v/>
      </c>
      <c r="I113" s="36" t="str">
        <f>IF(B113="-","",VLOOKUP(B113,DATOS!$I$3:$S$138,4,FALSE))</f>
        <v/>
      </c>
      <c r="J113" s="64" t="str">
        <f t="shared" si="10"/>
        <v/>
      </c>
      <c r="K113" s="39"/>
      <c r="M113" s="36" t="str">
        <f>IF(B113="-","",VLOOKUP(B113,DATOS!$I$3:$AF$138,24,FALSE))</f>
        <v/>
      </c>
      <c r="N113" s="30" t="s">
        <v>18</v>
      </c>
      <c r="O113" s="30">
        <f t="shared" si="11"/>
        <v>0</v>
      </c>
    </row>
    <row r="114" spans="1:15" s="30" customFormat="1" ht="15" customHeight="1" x14ac:dyDescent="0.3">
      <c r="A114" s="92" t="s">
        <v>343</v>
      </c>
      <c r="B114" s="63" t="s">
        <v>246</v>
      </c>
      <c r="C114" s="34" t="str">
        <f>IF(B114="-","",VLOOKUP(B114,DATOS!$I$3:$K$200,2,FALSE))</f>
        <v/>
      </c>
      <c r="D114" s="35" t="str">
        <f>IF(B114="-","",CONCATENATE(VLOOKUP(C114,DATOS!$J$3:$K$200,2,FALSE)," ml"))</f>
        <v/>
      </c>
      <c r="E114" s="35"/>
      <c r="F114" s="36"/>
      <c r="G114" s="36" t="str">
        <f>IF(B114="-","",IF(E114="caja",VLOOKUP(B114,DATOS!$I$3:$AC$137,21,FALSE),F114))</f>
        <v/>
      </c>
      <c r="H114" s="36" t="str">
        <f t="shared" si="9"/>
        <v/>
      </c>
      <c r="I114" s="36" t="str">
        <f>IF(B114="-","",VLOOKUP(B114,DATOS!$I$3:$S$138,4,FALSE))</f>
        <v/>
      </c>
      <c r="J114" s="64" t="str">
        <f t="shared" si="10"/>
        <v/>
      </c>
      <c r="K114" s="39"/>
      <c r="M114" s="36" t="str">
        <f>IF(B114="-","",VLOOKUP(B114,DATOS!$I$3:$AF$138,24,FALSE))</f>
        <v/>
      </c>
      <c r="N114" s="30" t="s">
        <v>18</v>
      </c>
      <c r="O114" s="30">
        <f t="shared" si="11"/>
        <v>0</v>
      </c>
    </row>
    <row r="115" spans="1:15" s="30" customFormat="1" ht="15" customHeight="1" x14ac:dyDescent="0.3">
      <c r="A115" s="92" t="s">
        <v>347</v>
      </c>
      <c r="B115" s="63" t="s">
        <v>246</v>
      </c>
      <c r="C115" s="34" t="str">
        <f>IF(B115="-","",VLOOKUP(B115,DATOS!$I$3:$K$200,2,FALSE))</f>
        <v/>
      </c>
      <c r="D115" s="35" t="str">
        <f>IF(B115="-","",CONCATENATE(VLOOKUP(C115,DATOS!$J$3:$K$200,2,FALSE)," ml"))</f>
        <v/>
      </c>
      <c r="E115" s="35"/>
      <c r="F115" s="36"/>
      <c r="G115" s="36" t="str">
        <f>IF(B115="-","",IF(E115="caja",VLOOKUP(B115,DATOS!$I$3:$AC$137,21,FALSE),F115))</f>
        <v/>
      </c>
      <c r="H115" s="36" t="str">
        <f t="shared" si="9"/>
        <v/>
      </c>
      <c r="I115" s="36" t="str">
        <f>IF(B115="-","",VLOOKUP(B115,DATOS!$I$3:$S$138,4,FALSE))</f>
        <v/>
      </c>
      <c r="J115" s="64" t="str">
        <f t="shared" si="10"/>
        <v/>
      </c>
      <c r="K115" s="39"/>
      <c r="M115" s="36" t="str">
        <f>IF(B115="-","",VLOOKUP(B115,DATOS!$I$3:$AF$138,24,FALSE))</f>
        <v/>
      </c>
      <c r="N115" s="30" t="s">
        <v>18</v>
      </c>
      <c r="O115" s="30">
        <f t="shared" si="11"/>
        <v>0</v>
      </c>
    </row>
    <row r="116" spans="1:15" s="30" customFormat="1" ht="15" customHeight="1" x14ac:dyDescent="0.3">
      <c r="A116" s="92" t="s">
        <v>350</v>
      </c>
      <c r="B116" s="63" t="s">
        <v>246</v>
      </c>
      <c r="C116" s="34" t="str">
        <f>IF(B116="-","",VLOOKUP(B116,DATOS!$I$3:$K$200,2,FALSE))</f>
        <v/>
      </c>
      <c r="D116" s="35" t="str">
        <f>IF(B116="-","",CONCATENATE(VLOOKUP(C116,DATOS!$J$3:$K$200,2,FALSE)," ml"))</f>
        <v/>
      </c>
      <c r="E116" s="35"/>
      <c r="F116" s="36"/>
      <c r="G116" s="36" t="str">
        <f>IF(B116="-","",IF(E116="caja",VLOOKUP(B116,DATOS!$I$3:$AC$137,21,FALSE),F116))</f>
        <v/>
      </c>
      <c r="H116" s="36" t="str">
        <f t="shared" si="9"/>
        <v/>
      </c>
      <c r="I116" s="36" t="str">
        <f>IF(B116="-","",VLOOKUP(B116,DATOS!$I$3:$S$138,4,FALSE))</f>
        <v/>
      </c>
      <c r="J116" s="64" t="str">
        <f t="shared" si="10"/>
        <v/>
      </c>
      <c r="K116" s="39"/>
      <c r="M116" s="36" t="str">
        <f>IF(B116="-","",VLOOKUP(B116,DATOS!$I$3:$AF$138,24,FALSE))</f>
        <v/>
      </c>
      <c r="N116" s="30" t="s">
        <v>18</v>
      </c>
      <c r="O116" s="30">
        <f t="shared" si="11"/>
        <v>0</v>
      </c>
    </row>
    <row r="117" spans="1:15" s="30" customFormat="1" ht="15" customHeight="1" x14ac:dyDescent="0.3">
      <c r="A117" s="92" t="s">
        <v>348</v>
      </c>
      <c r="B117" s="63" t="s">
        <v>246</v>
      </c>
      <c r="C117" s="34" t="str">
        <f>IF(B117="-","",VLOOKUP(B117,DATOS!$I$3:$K$200,2,FALSE))</f>
        <v/>
      </c>
      <c r="D117" s="35" t="str">
        <f>IF(B117="-","",CONCATENATE(VLOOKUP(C117,DATOS!$J$3:$K$200,2,FALSE)," ml"))</f>
        <v/>
      </c>
      <c r="E117" s="35"/>
      <c r="F117" s="36"/>
      <c r="G117" s="36" t="str">
        <f>IF(B117="-","",IF(E117="caja",VLOOKUP(B117,DATOS!$I$3:$AC$137,21,FALSE),F117))</f>
        <v/>
      </c>
      <c r="H117" s="36" t="str">
        <f t="shared" si="9"/>
        <v/>
      </c>
      <c r="I117" s="36" t="str">
        <f>IF(B117="-","",VLOOKUP(B117,DATOS!$I$3:$S$138,4,FALSE))</f>
        <v/>
      </c>
      <c r="J117" s="64" t="str">
        <f t="shared" si="10"/>
        <v/>
      </c>
      <c r="K117" s="39"/>
      <c r="M117" s="36" t="str">
        <f>IF(B117="-","",VLOOKUP(B117,DATOS!$I$3:$AF$138,24,FALSE))</f>
        <v/>
      </c>
      <c r="N117" s="30" t="s">
        <v>18</v>
      </c>
      <c r="O117" s="30">
        <f t="shared" si="11"/>
        <v>0</v>
      </c>
    </row>
    <row r="118" spans="1:15" s="30" customFormat="1" ht="15" customHeight="1" x14ac:dyDescent="0.3">
      <c r="A118" s="92" t="s">
        <v>348</v>
      </c>
      <c r="B118" s="63" t="s">
        <v>246</v>
      </c>
      <c r="C118" s="34" t="str">
        <f>IF(B118="-","",VLOOKUP(B118,DATOS!$I$3:$K$200,2,FALSE))</f>
        <v/>
      </c>
      <c r="D118" s="35" t="str">
        <f>IF(B118="-","",CONCATENATE(VLOOKUP(C118,DATOS!$J$3:$K$200,2,FALSE)," ml"))</f>
        <v/>
      </c>
      <c r="E118" s="35"/>
      <c r="F118" s="36"/>
      <c r="G118" s="36" t="str">
        <f>IF(B118="-","",IF(E118="caja",VLOOKUP(B118,DATOS!$I$3:$AC$137,21,FALSE),F118))</f>
        <v/>
      </c>
      <c r="H118" s="36" t="str">
        <f t="shared" si="9"/>
        <v/>
      </c>
      <c r="I118" s="36" t="str">
        <f>IF(B118="-","",VLOOKUP(B118,DATOS!$I$3:$S$138,4,FALSE))</f>
        <v/>
      </c>
      <c r="J118" s="64" t="str">
        <f t="shared" si="10"/>
        <v/>
      </c>
      <c r="K118" s="39"/>
      <c r="M118" s="36" t="str">
        <f>IF(B118="-","",VLOOKUP(B118,DATOS!$I$3:$AF$138,24,FALSE))</f>
        <v/>
      </c>
      <c r="N118" s="30" t="s">
        <v>18</v>
      </c>
      <c r="O118" s="30">
        <f t="shared" si="11"/>
        <v>0</v>
      </c>
    </row>
    <row r="119" spans="1:15" s="30" customFormat="1" ht="15" customHeight="1" x14ac:dyDescent="0.3">
      <c r="A119" s="92" t="s">
        <v>348</v>
      </c>
      <c r="B119" s="63" t="s">
        <v>246</v>
      </c>
      <c r="C119" s="34" t="str">
        <f>IF(B119="-","",VLOOKUP(B119,DATOS!$I$3:$K$200,2,FALSE))</f>
        <v/>
      </c>
      <c r="D119" s="35" t="str">
        <f>IF(B119="-","",CONCATENATE(VLOOKUP(C119,DATOS!$J$3:$K$200,2,FALSE)," ml"))</f>
        <v/>
      </c>
      <c r="E119" s="35"/>
      <c r="F119" s="36"/>
      <c r="G119" s="36" t="str">
        <f>IF(B119="-","",IF(E119="caja",VLOOKUP(B119,DATOS!$I$3:$AC$137,21,FALSE),F119))</f>
        <v/>
      </c>
      <c r="H119" s="36" t="str">
        <f t="shared" si="9"/>
        <v/>
      </c>
      <c r="I119" s="36" t="str">
        <f>IF(B119="-","",VLOOKUP(B119,DATOS!$I$3:$S$138,4,FALSE))</f>
        <v/>
      </c>
      <c r="J119" s="64" t="str">
        <f t="shared" si="10"/>
        <v/>
      </c>
      <c r="K119" s="39"/>
      <c r="M119" s="36" t="str">
        <f>IF(B119="-","",VLOOKUP(B119,DATOS!$I$3:$AF$138,24,FALSE))</f>
        <v/>
      </c>
      <c r="N119" s="30" t="s">
        <v>18</v>
      </c>
      <c r="O119" s="30">
        <f t="shared" si="11"/>
        <v>0</v>
      </c>
    </row>
    <row r="120" spans="1:15" s="30" customFormat="1" ht="15" customHeight="1" x14ac:dyDescent="0.3">
      <c r="A120" s="92" t="s">
        <v>348</v>
      </c>
      <c r="B120" s="63" t="s">
        <v>246</v>
      </c>
      <c r="C120" s="34" t="str">
        <f>IF(B120="-","",VLOOKUP(B120,DATOS!$I$3:$K$200,2,FALSE))</f>
        <v/>
      </c>
      <c r="D120" s="35" t="str">
        <f>IF(B120="-","",CONCATENATE(VLOOKUP(C120,DATOS!$J$3:$K$200,2,FALSE)," ml"))</f>
        <v/>
      </c>
      <c r="E120" s="35"/>
      <c r="F120" s="36"/>
      <c r="G120" s="36" t="str">
        <f>IF(B120="-","",IF(E120="caja",VLOOKUP(B120,DATOS!$I$3:$AC$137,21,FALSE),F120))</f>
        <v/>
      </c>
      <c r="H120" s="36" t="str">
        <f t="shared" si="9"/>
        <v/>
      </c>
      <c r="I120" s="36" t="str">
        <f>IF(B120="-","",VLOOKUP(B120,DATOS!$I$3:$S$138,4,FALSE))</f>
        <v/>
      </c>
      <c r="J120" s="64" t="str">
        <f t="shared" si="10"/>
        <v/>
      </c>
      <c r="K120" s="39"/>
      <c r="M120" s="36" t="str">
        <f>IF(B120="-","",VLOOKUP(B120,DATOS!$I$3:$AF$138,24,FALSE))</f>
        <v/>
      </c>
      <c r="N120" s="30" t="s">
        <v>18</v>
      </c>
      <c r="O120" s="30">
        <f t="shared" si="11"/>
        <v>0</v>
      </c>
    </row>
    <row r="121" spans="1:15" s="30" customFormat="1" ht="15" customHeight="1" x14ac:dyDescent="0.3">
      <c r="A121" s="92" t="s">
        <v>348</v>
      </c>
      <c r="B121" s="63" t="s">
        <v>246</v>
      </c>
      <c r="C121" s="34" t="str">
        <f>IF(B121="-","",VLOOKUP(B121,DATOS!$I$3:$K$200,2,FALSE))</f>
        <v/>
      </c>
      <c r="D121" s="35" t="str">
        <f>IF(B121="-","",CONCATENATE(VLOOKUP(C121,DATOS!$J$3:$K$200,2,FALSE)," ml"))</f>
        <v/>
      </c>
      <c r="E121" s="35"/>
      <c r="F121" s="36"/>
      <c r="G121" s="36" t="str">
        <f>IF(B121="-","",IF(E121="caja",VLOOKUP(B121,DATOS!$I$3:$AC$137,21,FALSE),F121))</f>
        <v/>
      </c>
      <c r="H121" s="36" t="str">
        <f t="shared" si="9"/>
        <v/>
      </c>
      <c r="I121" s="36" t="str">
        <f>IF(B121="-","",VLOOKUP(B121,DATOS!$I$3:$S$138,4,FALSE))</f>
        <v/>
      </c>
      <c r="J121" s="64" t="str">
        <f t="shared" si="10"/>
        <v/>
      </c>
      <c r="K121" s="39"/>
      <c r="M121" s="36" t="str">
        <f>IF(B121="-","",VLOOKUP(B121,DATOS!$I$3:$AF$138,24,FALSE))</f>
        <v/>
      </c>
      <c r="N121" s="30" t="s">
        <v>18</v>
      </c>
      <c r="O121" s="30">
        <f t="shared" si="11"/>
        <v>0</v>
      </c>
    </row>
    <row r="122" spans="1:15" s="30" customFormat="1" ht="15" customHeight="1" x14ac:dyDescent="0.3">
      <c r="A122" s="92" t="s">
        <v>348</v>
      </c>
      <c r="B122" s="63" t="s">
        <v>246</v>
      </c>
      <c r="C122" s="34" t="str">
        <f>IF(B122="-","",VLOOKUP(B122,DATOS!$I$3:$K$200,2,FALSE))</f>
        <v/>
      </c>
      <c r="D122" s="35" t="str">
        <f>IF(B122="-","",CONCATENATE(VLOOKUP(C122,DATOS!$J$3:$K$200,2,FALSE)," ml"))</f>
        <v/>
      </c>
      <c r="E122" s="35"/>
      <c r="F122" s="36"/>
      <c r="G122" s="36" t="str">
        <f>IF(B122="-","",IF(E122="caja",VLOOKUP(B122,DATOS!$I$3:$AC$137,21,FALSE),F122))</f>
        <v/>
      </c>
      <c r="H122" s="36" t="str">
        <f t="shared" si="9"/>
        <v/>
      </c>
      <c r="I122" s="36" t="str">
        <f>IF(B122="-","",VLOOKUP(B122,DATOS!$I$3:$S$138,4,FALSE))</f>
        <v/>
      </c>
      <c r="J122" s="64" t="str">
        <f t="shared" si="10"/>
        <v/>
      </c>
      <c r="K122" s="39"/>
      <c r="M122" s="36" t="str">
        <f>IF(B122="-","",VLOOKUP(B122,DATOS!$I$3:$AF$138,24,FALSE))</f>
        <v/>
      </c>
      <c r="N122" s="30" t="s">
        <v>18</v>
      </c>
      <c r="O122" s="30">
        <f t="shared" si="11"/>
        <v>0</v>
      </c>
    </row>
    <row r="123" spans="1:15" s="30" customFormat="1" ht="15" customHeight="1" thickBot="1" x14ac:dyDescent="0.35">
      <c r="A123" s="92" t="s">
        <v>348</v>
      </c>
      <c r="B123" s="63" t="s">
        <v>246</v>
      </c>
      <c r="C123" s="34" t="str">
        <f>IF(B123="-","",VLOOKUP(B123,DATOS!$I$3:$K$200,2,FALSE))</f>
        <v/>
      </c>
      <c r="D123" s="35" t="str">
        <f>IF(B123="-","",CONCATENATE(VLOOKUP(C123,DATOS!$J$3:$K$200,2,FALSE)," ml"))</f>
        <v/>
      </c>
      <c r="E123" s="35"/>
      <c r="F123" s="36"/>
      <c r="G123" s="36" t="str">
        <f>IF(B123="-","",IF(E123="caja",VLOOKUP(B123,DATOS!$I$3:$AC$137,21,FALSE),F123))</f>
        <v/>
      </c>
      <c r="H123" s="36" t="str">
        <f t="shared" si="9"/>
        <v/>
      </c>
      <c r="I123" s="36" t="str">
        <f>IF(B123="-","",VLOOKUP(B123,DATOS!$I$3:$S$138,4,FALSE))</f>
        <v/>
      </c>
      <c r="J123" s="64" t="str">
        <f t="shared" si="10"/>
        <v/>
      </c>
      <c r="K123" s="39"/>
      <c r="M123" s="36" t="str">
        <f>IF(B123="-","",VLOOKUP(B123,DATOS!$I$3:$AF$138,24,FALSE))</f>
        <v/>
      </c>
      <c r="N123" s="30" t="s">
        <v>18</v>
      </c>
      <c r="O123" s="30">
        <f t="shared" si="11"/>
        <v>0</v>
      </c>
    </row>
    <row r="124" spans="1:15" s="30" customFormat="1" ht="19.95" customHeight="1" thickBot="1" x14ac:dyDescent="0.35">
      <c r="B124" s="37"/>
      <c r="C124" s="37"/>
      <c r="D124" s="37"/>
      <c r="E124" s="38"/>
      <c r="F124" s="39"/>
      <c r="G124" s="39"/>
      <c r="H124" s="39"/>
      <c r="I124" s="90" t="s">
        <v>2</v>
      </c>
      <c r="J124" s="69">
        <f>SUM(J96:J123)+J93+J62+J30</f>
        <v>3550.2</v>
      </c>
      <c r="K124" s="50"/>
    </row>
    <row r="135" spans="2:11" ht="15.6" x14ac:dyDescent="0.3">
      <c r="B135" s="2"/>
      <c r="C135" s="2"/>
      <c r="D135" s="2"/>
      <c r="E135" s="6"/>
      <c r="F135" s="6"/>
      <c r="G135" s="6"/>
      <c r="H135" s="6"/>
      <c r="I135" s="6"/>
      <c r="J135" s="6"/>
      <c r="K135" s="6"/>
    </row>
    <row r="136" spans="2:11" ht="15.6" x14ac:dyDescent="0.3">
      <c r="B136" s="2"/>
      <c r="C136" s="2"/>
      <c r="D136" s="2"/>
      <c r="I136" s="6"/>
      <c r="J136" s="6"/>
      <c r="K136" s="6"/>
    </row>
    <row r="151" spans="2:11" ht="15.6" x14ac:dyDescent="0.3">
      <c r="B151" s="2"/>
      <c r="C151" s="2"/>
      <c r="D151" s="2"/>
      <c r="E151" s="6"/>
      <c r="F151" s="6"/>
      <c r="G151" s="6"/>
      <c r="H151" s="6"/>
      <c r="I151" s="6"/>
      <c r="J151" s="6"/>
      <c r="K151" s="6"/>
    </row>
    <row r="163" spans="2:11" ht="15.6" x14ac:dyDescent="0.3">
      <c r="B163" s="2"/>
      <c r="C163" s="2"/>
      <c r="D163" s="2"/>
      <c r="E163" s="6"/>
      <c r="F163" s="6"/>
      <c r="G163" s="6"/>
      <c r="H163" s="6"/>
      <c r="I163" s="6"/>
      <c r="J163" s="6"/>
      <c r="K163" s="6"/>
    </row>
    <row r="165" spans="2:11" ht="19.8" x14ac:dyDescent="0.4">
      <c r="B165" s="3"/>
      <c r="C165" s="3"/>
      <c r="D165" s="3"/>
      <c r="E165" s="9"/>
      <c r="F165" s="9"/>
      <c r="G165" s="9"/>
      <c r="H165" s="9"/>
      <c r="I165" s="9"/>
      <c r="J165" s="9"/>
      <c r="K165" s="9"/>
    </row>
  </sheetData>
  <dataConsolidate/>
  <mergeCells count="11">
    <mergeCell ref="B94:H94"/>
    <mergeCell ref="C7:J7"/>
    <mergeCell ref="B8:H8"/>
    <mergeCell ref="B1:J1"/>
    <mergeCell ref="C2:J2"/>
    <mergeCell ref="C3:J3"/>
    <mergeCell ref="C4:J4"/>
    <mergeCell ref="C5:J5"/>
    <mergeCell ref="C6:J6"/>
    <mergeCell ref="B32:H32"/>
    <mergeCell ref="B63:H63"/>
  </mergeCells>
  <phoneticPr fontId="18" type="noConversion"/>
  <conditionalFormatting sqref="T10:U10">
    <cfRule type="cellIs" dxfId="7" priority="1" operator="greaterThan">
      <formula>0</formula>
    </cfRule>
    <cfRule type="cellIs" dxfId="6" priority="2" operator="lessThan">
      <formula>0</formula>
    </cfRule>
  </conditionalFormatting>
  <dataValidations count="2">
    <dataValidation type="list" allowBlank="1" showInputMessage="1" showErrorMessage="1" sqref="E34:E61 E96:E123 E65:E92 E10:E29" xr:uid="{8CF6F7D2-70FD-444D-BA9F-A1DAF2FBFE63}">
      <formula1>$N$9:$N$11</formula1>
    </dataValidation>
    <dataValidation type="list" allowBlank="1" showInputMessage="1" showErrorMessage="1" sqref="B10:B29" xr:uid="{F86327EB-FE62-4EFE-9159-A456FD2A3BBA}">
      <formula1>INDIRECT(A10)</formula1>
    </dataValidation>
  </dataValidations>
  <hyperlinks>
    <hyperlink ref="C7" r:id="rId1" xr:uid="{F5CB392F-74AB-4499-B376-0A5FFEA4B1CA}"/>
  </hyperlinks>
  <pageMargins left="0.25" right="0.25" top="0.75" bottom="0.75" header="0.3" footer="0.3"/>
  <pageSetup paperSize="9" orientation="landscape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7BBA2CD-59C3-4FC5-8913-4CFC3E166540}">
          <x14:formula1>
            <xm:f>familias!$G$2:$G$8</xm:f>
          </x14:formula1>
          <xm:sqref>A10:A29 A34:A61 A65:A92 A96:A123</xm:sqref>
        </x14:dataValidation>
        <x14:dataValidation type="list" allowBlank="1" showInputMessage="1" showErrorMessage="1" xr:uid="{3B20BE02-EEB4-4E47-8291-682DC6046C3B}">
          <x14:formula1>
            <xm:f>DATOS!$F$3:$F$12</xm:f>
          </x14:formula1>
          <xm:sqref>B124:D124 B93:D93 B62:D62</xm:sqref>
        </x14:dataValidation>
        <x14:dataValidation type="list" allowBlank="1" showInputMessage="1" showErrorMessage="1" xr:uid="{3C1B73B0-B0FD-4D63-B7A4-1039A851B134}">
          <x14:formula1>
            <xm:f>DATOS!$F$27:$F$135</xm:f>
          </x14:formula1>
          <xm:sqref>E62 E93 E124</xm:sqref>
        </x14:dataValidation>
        <x14:dataValidation type="list" allowBlank="1" showInputMessage="1" showErrorMessage="1" xr:uid="{D3214C46-7DAB-4120-B0CA-DC25B42037C4}">
          <x14:formula1>
            <xm:f>DATOS!$I$3:$I$138</xm:f>
          </x14:formula1>
          <xm:sqref>B65:B92 B96:B123 B34:B61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30657-4ED0-48EC-867F-3B2BC6F4D72E}">
  <sheetPr codeName="Hoja6"/>
  <dimension ref="B1:J142"/>
  <sheetViews>
    <sheetView zoomScale="85" zoomScaleNormal="85" workbookViewId="0">
      <selection activeCell="D12" sqref="D12"/>
    </sheetView>
  </sheetViews>
  <sheetFormatPr baseColWidth="10" defaultColWidth="8.88671875" defaultRowHeight="14.4" x14ac:dyDescent="0.3"/>
  <cols>
    <col min="1" max="2" width="8.88671875" style="1"/>
    <col min="3" max="3" width="40.6640625" style="11" customWidth="1"/>
    <col min="4" max="4" width="12.6640625" style="11" customWidth="1"/>
    <col min="5" max="5" width="12.6640625" style="4" hidden="1" customWidth="1"/>
    <col min="6" max="9" width="12.6640625" style="4" customWidth="1"/>
    <col min="10" max="10" width="10.6640625" style="4" customWidth="1"/>
    <col min="11" max="16384" width="8.88671875" style="1"/>
  </cols>
  <sheetData>
    <row r="1" spans="2:10" ht="24.9" customHeight="1" thickBot="1" x14ac:dyDescent="0.35">
      <c r="B1" s="94" t="s">
        <v>263</v>
      </c>
      <c r="C1" s="95"/>
      <c r="D1" s="95"/>
      <c r="E1" s="95"/>
      <c r="F1" s="95"/>
      <c r="G1" s="95"/>
      <c r="H1" s="100"/>
      <c r="I1" s="100"/>
      <c r="J1" s="101"/>
    </row>
    <row r="2" spans="2:10" s="30" customFormat="1" ht="15" customHeight="1" x14ac:dyDescent="0.3">
      <c r="B2" s="118" t="s">
        <v>255</v>
      </c>
      <c r="C2" s="119"/>
      <c r="D2" s="102" t="str">
        <f>'PEDIDO WEPP'!C2</f>
        <v>Michael Leffler</v>
      </c>
      <c r="E2" s="103"/>
      <c r="F2" s="103"/>
      <c r="G2" s="103"/>
      <c r="H2" s="103"/>
      <c r="I2" s="103"/>
      <c r="J2" s="104"/>
    </row>
    <row r="3" spans="2:10" s="30" customFormat="1" ht="15" customHeight="1" x14ac:dyDescent="0.3">
      <c r="B3" s="114" t="s">
        <v>256</v>
      </c>
      <c r="C3" s="115"/>
      <c r="D3" s="105" t="str">
        <f>'PEDIDO WEPP'!C3</f>
        <v>X-2239443-W</v>
      </c>
      <c r="E3" s="106"/>
      <c r="F3" s="106"/>
      <c r="G3" s="106"/>
      <c r="H3" s="106"/>
      <c r="I3" s="106"/>
      <c r="J3" s="107"/>
    </row>
    <row r="4" spans="2:10" s="30" customFormat="1" ht="15" customHeight="1" x14ac:dyDescent="0.3">
      <c r="B4" s="114" t="s">
        <v>257</v>
      </c>
      <c r="C4" s="115"/>
      <c r="D4" s="105" t="str">
        <f>'PEDIDO WEPP'!C4</f>
        <v>Peones Camineros, Portal A 2 izq. 11158. La barca de Vejer</v>
      </c>
      <c r="E4" s="106"/>
      <c r="F4" s="106"/>
      <c r="G4" s="106"/>
      <c r="H4" s="106"/>
      <c r="I4" s="106"/>
      <c r="J4" s="107"/>
    </row>
    <row r="5" spans="2:10" s="30" customFormat="1" ht="15" customHeight="1" x14ac:dyDescent="0.3">
      <c r="B5" s="114" t="s">
        <v>258</v>
      </c>
      <c r="C5" s="115"/>
      <c r="D5" s="105" t="str">
        <f>'PEDIDO WEPP'!C5</f>
        <v>Calle Cruz de la Calzada, 25. P.I. Pelagatos. 11130. Chiclana de la Frontera. Cádiz. España</v>
      </c>
      <c r="E5" s="106"/>
      <c r="F5" s="106"/>
      <c r="G5" s="106"/>
      <c r="H5" s="106"/>
      <c r="I5" s="106"/>
      <c r="J5" s="107"/>
    </row>
    <row r="6" spans="2:10" s="30" customFormat="1" ht="15" customHeight="1" x14ac:dyDescent="0.3">
      <c r="B6" s="114" t="s">
        <v>259</v>
      </c>
      <c r="C6" s="115"/>
      <c r="D6" s="105" t="str">
        <f>'PEDIDO WEPP'!C6</f>
        <v>+34 640074441</v>
      </c>
      <c r="E6" s="106"/>
      <c r="F6" s="106"/>
      <c r="G6" s="106"/>
      <c r="H6" s="106"/>
      <c r="I6" s="106"/>
      <c r="J6" s="107"/>
    </row>
    <row r="7" spans="2:10" s="30" customFormat="1" ht="15" customHeight="1" thickBot="1" x14ac:dyDescent="0.35">
      <c r="B7" s="116" t="s">
        <v>260</v>
      </c>
      <c r="C7" s="117"/>
      <c r="D7" s="113" t="str">
        <f>'PEDIDO WEPP'!C7</f>
        <v>michael.geonovatek@gmail.com</v>
      </c>
      <c r="E7" s="98"/>
      <c r="F7" s="98"/>
      <c r="G7" s="98"/>
      <c r="H7" s="98"/>
      <c r="I7" s="98"/>
      <c r="J7" s="99"/>
    </row>
    <row r="8" spans="2:10" s="31" customFormat="1" ht="24.9" customHeight="1" thickBot="1" x14ac:dyDescent="0.35">
      <c r="B8" s="94" t="s">
        <v>247</v>
      </c>
      <c r="C8" s="111"/>
      <c r="D8" s="111"/>
      <c r="E8" s="111"/>
      <c r="F8" s="111"/>
      <c r="G8" s="111"/>
      <c r="H8" s="112"/>
      <c r="I8" s="75" t="s">
        <v>253</v>
      </c>
      <c r="J8" s="76" t="str">
        <f>'PEDIDO WEPP'!J8</f>
        <v>2025-0001</v>
      </c>
    </row>
    <row r="9" spans="2:10" s="33" customFormat="1" ht="15" customHeight="1" x14ac:dyDescent="0.3">
      <c r="B9" s="84" t="s">
        <v>261</v>
      </c>
      <c r="C9" s="85" t="s">
        <v>308</v>
      </c>
      <c r="D9" s="86" t="s">
        <v>250</v>
      </c>
      <c r="E9" s="86"/>
      <c r="F9" s="86"/>
      <c r="G9" s="86" t="s">
        <v>309</v>
      </c>
      <c r="H9" s="86" t="s">
        <v>2</v>
      </c>
      <c r="I9" s="86" t="s">
        <v>339</v>
      </c>
      <c r="J9" s="87" t="s">
        <v>273</v>
      </c>
    </row>
    <row r="10" spans="2:10" s="30" customFormat="1" ht="15" customHeight="1" x14ac:dyDescent="0.3">
      <c r="B10" s="81" t="str">
        <f>'PEDIDO WEPP'!C10</f>
        <v>2011-300</v>
      </c>
      <c r="C10" s="58" t="str">
        <f>IF(B10="","",VLOOKUP(B10,DATOS!$F$3:$H$139,3,FALSE))</f>
        <v>Ölstopp Additiv</v>
      </c>
      <c r="D10" s="35" t="str">
        <f>IF(B10="","",'PEDIDO WEPP'!D10)</f>
        <v>300 ml</v>
      </c>
      <c r="E10" s="36" t="str">
        <f>IF(B10="","",'PEDIDO WEPP'!E10)</f>
        <v>caja</v>
      </c>
      <c r="F10" s="36" t="str">
        <f>IF(E10="CAJA","KISTE",IF(E10="unidad","STÜCK",""))</f>
        <v>KISTE</v>
      </c>
      <c r="G10" s="36">
        <f>IF(B10="","",'PEDIDO WEPP'!F10)</f>
        <v>2</v>
      </c>
      <c r="H10" s="36">
        <f>IF(B10="","",'PEDIDO WEPP'!H10)</f>
        <v>48</v>
      </c>
      <c r="I10" s="36">
        <f>IF(B10="","",'PEDIDO WEPP'!I10)</f>
        <v>2.8</v>
      </c>
      <c r="J10" s="64">
        <f>IF(B10="","",'PEDIDO WEPP'!J10)</f>
        <v>134.39999999999998</v>
      </c>
    </row>
    <row r="11" spans="2:10" s="30" customFormat="1" ht="15" customHeight="1" x14ac:dyDescent="0.3">
      <c r="B11" s="81">
        <f>'PEDIDO WEPP'!C11</f>
        <v>2023</v>
      </c>
      <c r="C11" s="58" t="str">
        <f>IF(B11="","",VLOOKUP(B11,DATOS!$F$3:$H$139,3,FALSE))</f>
        <v>Kühlerreinigung</v>
      </c>
      <c r="D11" s="35" t="str">
        <f>IF(B11="","",'PEDIDO WEPP'!D11)</f>
        <v>400 ml</v>
      </c>
      <c r="E11" s="36" t="str">
        <f>IF(B11="","",'PEDIDO WEPP'!E11)</f>
        <v>caja</v>
      </c>
      <c r="F11" s="36" t="str">
        <f t="shared" ref="F11:F29" si="0">IF(E11="CAJA","KISTE",IF(E11="unidad","STÜCK",""))</f>
        <v>KISTE</v>
      </c>
      <c r="G11" s="36">
        <f>IF(B11="","",'PEDIDO WEPP'!F11)</f>
        <v>1</v>
      </c>
      <c r="H11" s="36">
        <f>IF(B11="","",'PEDIDO WEPP'!H11)</f>
        <v>24</v>
      </c>
      <c r="I11" s="36">
        <f>IF(B11="","",'PEDIDO WEPP'!I11)</f>
        <v>2.75</v>
      </c>
      <c r="J11" s="64">
        <f>IF(B11="","",'PEDIDO WEPP'!J11)</f>
        <v>66</v>
      </c>
    </row>
    <row r="12" spans="2:10" s="30" customFormat="1" ht="15" customHeight="1" x14ac:dyDescent="0.3">
      <c r="B12" s="81">
        <f>'PEDIDO WEPP'!C12</f>
        <v>2025</v>
      </c>
      <c r="C12" s="58" t="str">
        <f>IF(B12="","",VLOOKUP(B12,DATOS!$F$3:$H$139,3,FALSE))</f>
        <v>Airfresh</v>
      </c>
      <c r="D12" s="35" t="str">
        <f>IF(B12="","",'PEDIDO WEPP'!D12)</f>
        <v>100 ml</v>
      </c>
      <c r="E12" s="36" t="str">
        <f>IF(B12="","",'PEDIDO WEPP'!E12)</f>
        <v>caja</v>
      </c>
      <c r="F12" s="36" t="str">
        <f t="shared" si="0"/>
        <v>KISTE</v>
      </c>
      <c r="G12" s="36">
        <f>IF(B12="","",'PEDIDO WEPP'!F12)</f>
        <v>2</v>
      </c>
      <c r="H12" s="36">
        <f>IF(B12="","",'PEDIDO WEPP'!H12)</f>
        <v>48</v>
      </c>
      <c r="I12" s="36">
        <f>IF(B12="","",'PEDIDO WEPP'!I12)</f>
        <v>3.35</v>
      </c>
      <c r="J12" s="64">
        <f>IF(B12="","",'PEDIDO WEPP'!J12)</f>
        <v>160.80000000000001</v>
      </c>
    </row>
    <row r="13" spans="2:10" s="30" customFormat="1" ht="15" customHeight="1" x14ac:dyDescent="0.3">
      <c r="B13" s="81">
        <f>'PEDIDO WEPP'!C13</f>
        <v>2090</v>
      </c>
      <c r="C13" s="58" t="str">
        <f>IF(B13="","",VLOOKUP(B13,DATOS!$F$3:$H$139,3,FALSE))</f>
        <v>Metallschutz Spray</v>
      </c>
      <c r="D13" s="35" t="str">
        <f>IF(B13="","",'PEDIDO WEPP'!D13)</f>
        <v>400 ml</v>
      </c>
      <c r="E13" s="36" t="str">
        <f>IF(B13="","",'PEDIDO WEPP'!E13)</f>
        <v>caja</v>
      </c>
      <c r="F13" s="36" t="str">
        <f t="shared" si="0"/>
        <v>KISTE</v>
      </c>
      <c r="G13" s="36">
        <f>IF(B13="","",'PEDIDO WEPP'!F13)</f>
        <v>2</v>
      </c>
      <c r="H13" s="36">
        <f>IF(B13="","",'PEDIDO WEPP'!H13)</f>
        <v>48</v>
      </c>
      <c r="I13" s="36">
        <f>IF(B13="","",'PEDIDO WEPP'!I13)</f>
        <v>3.5</v>
      </c>
      <c r="J13" s="64">
        <f>IF(B13="","",'PEDIDO WEPP'!J13)</f>
        <v>168</v>
      </c>
    </row>
    <row r="14" spans="2:10" s="30" customFormat="1" ht="15" customHeight="1" x14ac:dyDescent="0.3">
      <c r="B14" s="81">
        <f>'PEDIDO WEPP'!C14</f>
        <v>2040</v>
      </c>
      <c r="C14" s="58" t="str">
        <f>IF(B14="","",VLOOKUP(B14,DATOS!$F$3:$H$139,3,FALSE))</f>
        <v>Haftsynthese</v>
      </c>
      <c r="D14" s="35" t="str">
        <f>IF(B14="","",'PEDIDO WEPP'!D14)</f>
        <v>400 ml</v>
      </c>
      <c r="E14" s="36" t="str">
        <f>IF(B14="","",'PEDIDO WEPP'!E14)</f>
        <v>unidad</v>
      </c>
      <c r="F14" s="36" t="str">
        <f t="shared" si="0"/>
        <v>STÜCK</v>
      </c>
      <c r="G14" s="36">
        <f>IF(B14="","",'PEDIDO WEPP'!F14)</f>
        <v>6</v>
      </c>
      <c r="H14" s="36">
        <f>IF(B14="","",'PEDIDO WEPP'!H14)</f>
        <v>6</v>
      </c>
      <c r="I14" s="36">
        <f>IF(B14="","",'PEDIDO WEPP'!I14)</f>
        <v>0</v>
      </c>
      <c r="J14" s="64">
        <f>IF(B14="","",'PEDIDO WEPP'!J14)</f>
        <v>0</v>
      </c>
    </row>
    <row r="15" spans="2:10" s="30" customFormat="1" ht="15" customHeight="1" x14ac:dyDescent="0.3">
      <c r="B15" s="81" t="str">
        <f>'PEDIDO WEPP'!C15</f>
        <v>2010 SF</v>
      </c>
      <c r="C15" s="58" t="str">
        <f>IF(B15="","",VLOOKUP(B15,DATOS!$F$3:$H$139,3,FALSE))</f>
        <v>Motor System Reiniger (Lösungsmittelfrei)</v>
      </c>
      <c r="D15" s="35" t="str">
        <f>IF(B15="","",'PEDIDO WEPP'!D15)</f>
        <v>300 ml</v>
      </c>
      <c r="E15" s="36" t="str">
        <f>IF(B15="","",'PEDIDO WEPP'!E15)</f>
        <v>unidad</v>
      </c>
      <c r="F15" s="36" t="str">
        <f t="shared" si="0"/>
        <v>STÜCK</v>
      </c>
      <c r="G15" s="36">
        <f>IF(B15="","",'PEDIDO WEPP'!F15)</f>
        <v>6</v>
      </c>
      <c r="H15" s="36">
        <f>IF(B15="","",'PEDIDO WEPP'!H15)</f>
        <v>6</v>
      </c>
      <c r="I15" s="36">
        <f>IF(B15="","",'PEDIDO WEPP'!I15)</f>
        <v>2.95</v>
      </c>
      <c r="J15" s="64">
        <f>IF(B15="","",'PEDIDO WEPP'!J15)</f>
        <v>17.700000000000003</v>
      </c>
    </row>
    <row r="16" spans="2:10" s="30" customFormat="1" ht="15" customHeight="1" x14ac:dyDescent="0.3">
      <c r="B16" s="81" t="str">
        <f>'PEDIDO WEPP'!C16</f>
        <v>2010 SF</v>
      </c>
      <c r="C16" s="58" t="str">
        <f>IF(B16="","",VLOOKUP(B16,DATOS!$F$3:$H$139,3,FALSE))</f>
        <v>Motor System Reiniger (Lösungsmittelfrei)</v>
      </c>
      <c r="D16" s="35" t="str">
        <f>IF(B16="","",'PEDIDO WEPP'!D16)</f>
        <v>300 ml</v>
      </c>
      <c r="E16" s="36" t="str">
        <f>IF(B16="","",'PEDIDO WEPP'!E16)</f>
        <v>unidad</v>
      </c>
      <c r="F16" s="36" t="str">
        <f t="shared" si="0"/>
        <v>STÜCK</v>
      </c>
      <c r="G16" s="36">
        <f>IF(B16="","",'PEDIDO WEPP'!F16)</f>
        <v>6</v>
      </c>
      <c r="H16" s="36">
        <f>IF(B16="","",'PEDIDO WEPP'!H16)</f>
        <v>6</v>
      </c>
      <c r="I16" s="36">
        <f>IF(B16="","",'PEDIDO WEPP'!I16)</f>
        <v>2.95</v>
      </c>
      <c r="J16" s="64">
        <f>IF(B16="","",'PEDIDO WEPP'!J16)</f>
        <v>17.700000000000003</v>
      </c>
    </row>
    <row r="17" spans="2:10" s="30" customFormat="1" ht="15" customHeight="1" x14ac:dyDescent="0.3">
      <c r="B17" s="81" t="str">
        <f>'PEDIDO WEPP'!C17</f>
        <v>2010 SF</v>
      </c>
      <c r="C17" s="58" t="str">
        <f>IF(B17="","",VLOOKUP(B17,DATOS!$F$3:$H$139,3,FALSE))</f>
        <v>Motor System Reiniger (Lösungsmittelfrei)</v>
      </c>
      <c r="D17" s="35" t="str">
        <f>IF(B17="","",'PEDIDO WEPP'!D17)</f>
        <v>300 ml</v>
      </c>
      <c r="E17" s="36" t="str">
        <f>IF(B17="","",'PEDIDO WEPP'!E17)</f>
        <v>unidad</v>
      </c>
      <c r="F17" s="36" t="str">
        <f t="shared" si="0"/>
        <v>STÜCK</v>
      </c>
      <c r="G17" s="36">
        <f>IF(B17="","",'PEDIDO WEPP'!F17)</f>
        <v>2</v>
      </c>
      <c r="H17" s="36">
        <f>IF(B17="","",'PEDIDO WEPP'!H17)</f>
        <v>2</v>
      </c>
      <c r="I17" s="36">
        <f>IF(B17="","",'PEDIDO WEPP'!I17)</f>
        <v>2.95</v>
      </c>
      <c r="J17" s="64">
        <f>IF(B17="","",'PEDIDO WEPP'!J17)</f>
        <v>5.9</v>
      </c>
    </row>
    <row r="18" spans="2:10" s="30" customFormat="1" ht="15" customHeight="1" x14ac:dyDescent="0.3">
      <c r="B18" s="81" t="str">
        <f>'PEDIDO WEPP'!C18</f>
        <v>2010 SF</v>
      </c>
      <c r="C18" s="58" t="str">
        <f>IF(B18="","",VLOOKUP(B18,DATOS!$F$3:$H$139,3,FALSE))</f>
        <v>Motor System Reiniger (Lösungsmittelfrei)</v>
      </c>
      <c r="D18" s="35" t="str">
        <f>IF(B18="","",'PEDIDO WEPP'!D18)</f>
        <v>300 ml</v>
      </c>
      <c r="E18" s="36" t="str">
        <f>IF(B18="","",'PEDIDO WEPP'!E18)</f>
        <v>unidad</v>
      </c>
      <c r="F18" s="36" t="str">
        <f t="shared" si="0"/>
        <v>STÜCK</v>
      </c>
      <c r="G18" s="36">
        <f>IF(B18="","",'PEDIDO WEPP'!F18)</f>
        <v>2</v>
      </c>
      <c r="H18" s="36">
        <f>IF(B18="","",'PEDIDO WEPP'!H18)</f>
        <v>2</v>
      </c>
      <c r="I18" s="36">
        <f>IF(B18="","",'PEDIDO WEPP'!I18)</f>
        <v>2.95</v>
      </c>
      <c r="J18" s="64">
        <f>IF(B18="","",'PEDIDO WEPP'!J18)</f>
        <v>5.9</v>
      </c>
    </row>
    <row r="19" spans="2:10" s="30" customFormat="1" ht="15" customHeight="1" x14ac:dyDescent="0.3">
      <c r="B19" s="81" t="str">
        <f>'PEDIDO WEPP'!C19</f>
        <v>2010 SF</v>
      </c>
      <c r="C19" s="58" t="str">
        <f>IF(B19="","",VLOOKUP(B19,DATOS!$F$3:$H$139,3,FALSE))</f>
        <v>Motor System Reiniger (Lösungsmittelfrei)</v>
      </c>
      <c r="D19" s="35" t="str">
        <f>IF(B19="","",'PEDIDO WEPP'!D19)</f>
        <v>300 ml</v>
      </c>
      <c r="E19" s="36" t="str">
        <f>IF(B19="","",'PEDIDO WEPP'!E19)</f>
        <v>caja</v>
      </c>
      <c r="F19" s="36" t="str">
        <f t="shared" si="0"/>
        <v>KISTE</v>
      </c>
      <c r="G19" s="36">
        <f>IF(B19="","",'PEDIDO WEPP'!F19)</f>
        <v>2</v>
      </c>
      <c r="H19" s="36">
        <f>IF(B19="","",'PEDIDO WEPP'!H19)</f>
        <v>48</v>
      </c>
      <c r="I19" s="36">
        <f>IF(B19="","",'PEDIDO WEPP'!I19)</f>
        <v>2.95</v>
      </c>
      <c r="J19" s="64">
        <f>IF(B19="","",'PEDIDO WEPP'!J19)</f>
        <v>141.60000000000002</v>
      </c>
    </row>
    <row r="20" spans="2:10" s="30" customFormat="1" ht="15" customHeight="1" x14ac:dyDescent="0.3">
      <c r="B20" s="81" t="str">
        <f>'PEDIDO WEPP'!C20</f>
        <v>2010 SF</v>
      </c>
      <c r="C20" s="58" t="str">
        <f>IF(B20="","",VLOOKUP(B20,DATOS!$F$3:$H$139,3,FALSE))</f>
        <v>Motor System Reiniger (Lösungsmittelfrei)</v>
      </c>
      <c r="D20" s="35" t="str">
        <f>IF(B20="","",'PEDIDO WEPP'!D20)</f>
        <v>300 ml</v>
      </c>
      <c r="E20" s="36" t="str">
        <f>IF(B20="","",'PEDIDO WEPP'!E20)</f>
        <v>caja</v>
      </c>
      <c r="F20" s="36" t="str">
        <f t="shared" si="0"/>
        <v>KISTE</v>
      </c>
      <c r="G20" s="36">
        <f>IF(B20="","",'PEDIDO WEPP'!F20)</f>
        <v>1</v>
      </c>
      <c r="H20" s="36">
        <f>IF(B20="","",'PEDIDO WEPP'!H20)</f>
        <v>24</v>
      </c>
      <c r="I20" s="36">
        <f>IF(B20="","",'PEDIDO WEPP'!I20)</f>
        <v>2.95</v>
      </c>
      <c r="J20" s="64">
        <f>IF(B20="","",'PEDIDO WEPP'!J20)</f>
        <v>70.800000000000011</v>
      </c>
    </row>
    <row r="21" spans="2:10" s="30" customFormat="1" ht="15" customHeight="1" x14ac:dyDescent="0.3">
      <c r="B21" s="81" t="str">
        <f>'PEDIDO WEPP'!C21</f>
        <v>2010 SF</v>
      </c>
      <c r="C21" s="58" t="str">
        <f>IF(B21="","",VLOOKUP(B21,DATOS!$F$3:$H$139,3,FALSE))</f>
        <v>Motor System Reiniger (Lösungsmittelfrei)</v>
      </c>
      <c r="D21" s="35" t="str">
        <f>IF(B21="","",'PEDIDO WEPP'!D21)</f>
        <v>300 ml</v>
      </c>
      <c r="E21" s="36" t="str">
        <f>IF(B21="","",'PEDIDO WEPP'!E21)</f>
        <v>unidad</v>
      </c>
      <c r="F21" s="36" t="str">
        <f t="shared" si="0"/>
        <v>STÜCK</v>
      </c>
      <c r="G21" s="36">
        <f>IF(B21="","",'PEDIDO WEPP'!F21)</f>
        <v>12</v>
      </c>
      <c r="H21" s="36">
        <f>IF(B21="","",'PEDIDO WEPP'!H21)</f>
        <v>12</v>
      </c>
      <c r="I21" s="36">
        <f>IF(B21="","",'PEDIDO WEPP'!I21)</f>
        <v>2.95</v>
      </c>
      <c r="J21" s="64">
        <f>IF(B21="","",'PEDIDO WEPP'!J21)</f>
        <v>35.400000000000006</v>
      </c>
    </row>
    <row r="22" spans="2:10" s="30" customFormat="1" ht="15" customHeight="1" x14ac:dyDescent="0.3">
      <c r="B22" s="81" t="str">
        <f>'PEDIDO WEPP'!C22</f>
        <v>2010 SF</v>
      </c>
      <c r="C22" s="58" t="str">
        <f>IF(B22="","",VLOOKUP(B22,DATOS!$F$3:$H$139,3,FALSE))</f>
        <v>Motor System Reiniger (Lösungsmittelfrei)</v>
      </c>
      <c r="D22" s="35" t="str">
        <f>IF(B22="","",'PEDIDO WEPP'!D22)</f>
        <v>300 ml</v>
      </c>
      <c r="E22" s="36" t="str">
        <f>IF(B22="","",'PEDIDO WEPP'!E22)</f>
        <v>unidad</v>
      </c>
      <c r="F22" s="36" t="str">
        <f t="shared" si="0"/>
        <v>STÜCK</v>
      </c>
      <c r="G22" s="36">
        <f>IF(B22="","",'PEDIDO WEPP'!F22)</f>
        <v>6</v>
      </c>
      <c r="H22" s="36">
        <f>IF(B22="","",'PEDIDO WEPP'!H22)</f>
        <v>6</v>
      </c>
      <c r="I22" s="36">
        <f>IF(B22="","",'PEDIDO WEPP'!I22)</f>
        <v>2.95</v>
      </c>
      <c r="J22" s="64">
        <f>IF(B22="","",'PEDIDO WEPP'!J22)</f>
        <v>17.700000000000003</v>
      </c>
    </row>
    <row r="23" spans="2:10" s="30" customFormat="1" ht="15" customHeight="1" x14ac:dyDescent="0.3">
      <c r="B23" s="81" t="str">
        <f>'PEDIDO WEPP'!C23</f>
        <v>2010 SF</v>
      </c>
      <c r="C23" s="58" t="str">
        <f>IF(B23="","",VLOOKUP(B23,DATOS!$F$3:$H$139,3,FALSE))</f>
        <v>Motor System Reiniger (Lösungsmittelfrei)</v>
      </c>
      <c r="D23" s="35" t="str">
        <f>IF(B23="","",'PEDIDO WEPP'!D23)</f>
        <v>300 ml</v>
      </c>
      <c r="E23" s="36" t="str">
        <f>IF(B23="","",'PEDIDO WEPP'!E23)</f>
        <v>unidad</v>
      </c>
      <c r="F23" s="36" t="str">
        <f t="shared" si="0"/>
        <v>STÜCK</v>
      </c>
      <c r="G23" s="36">
        <f>IF(B23="","",'PEDIDO WEPP'!F23)</f>
        <v>2</v>
      </c>
      <c r="H23" s="36">
        <f>IF(B23="","",'PEDIDO WEPP'!H23)</f>
        <v>2</v>
      </c>
      <c r="I23" s="36">
        <f>IF(B23="","",'PEDIDO WEPP'!I23)</f>
        <v>2.95</v>
      </c>
      <c r="J23" s="64">
        <f>IF(B23="","",'PEDIDO WEPP'!J23)</f>
        <v>5.9</v>
      </c>
    </row>
    <row r="24" spans="2:10" s="30" customFormat="1" ht="15" customHeight="1" x14ac:dyDescent="0.3">
      <c r="B24" s="81" t="str">
        <f>'PEDIDO WEPP'!C24</f>
        <v>2010 SF</v>
      </c>
      <c r="C24" s="58" t="str">
        <f>IF(B24="","",VLOOKUP(B24,DATOS!$F$3:$H$139,3,FALSE))</f>
        <v>Motor System Reiniger (Lösungsmittelfrei)</v>
      </c>
      <c r="D24" s="35" t="str">
        <f>IF(B24="","",'PEDIDO WEPP'!D24)</f>
        <v>300 ml</v>
      </c>
      <c r="E24" s="36" t="str">
        <f>IF(B24="","",'PEDIDO WEPP'!E24)</f>
        <v>unidad</v>
      </c>
      <c r="F24" s="36" t="str">
        <f t="shared" si="0"/>
        <v>STÜCK</v>
      </c>
      <c r="G24" s="36">
        <f>IF(B24="","",'PEDIDO WEPP'!F24)</f>
        <v>6</v>
      </c>
      <c r="H24" s="36">
        <f>IF(B24="","",'PEDIDO WEPP'!H24)</f>
        <v>6</v>
      </c>
      <c r="I24" s="36">
        <f>IF(B24="","",'PEDIDO WEPP'!I24)</f>
        <v>2.95</v>
      </c>
      <c r="J24" s="64">
        <f>IF(B24="","",'PEDIDO WEPP'!J24)</f>
        <v>17.700000000000003</v>
      </c>
    </row>
    <row r="25" spans="2:10" s="30" customFormat="1" ht="15" customHeight="1" x14ac:dyDescent="0.3">
      <c r="B25" s="81" t="str">
        <f>'PEDIDO WEPP'!C25</f>
        <v>2010 SF</v>
      </c>
      <c r="C25" s="58" t="str">
        <f>IF(B25="","",VLOOKUP(B25,DATOS!$F$3:$H$139,3,FALSE))</f>
        <v>Motor System Reiniger (Lösungsmittelfrei)</v>
      </c>
      <c r="D25" s="35" t="str">
        <f>IF(B25="","",'PEDIDO WEPP'!D25)</f>
        <v>300 ml</v>
      </c>
      <c r="E25" s="36" t="str">
        <f>IF(B25="","",'PEDIDO WEPP'!E25)</f>
        <v>caja</v>
      </c>
      <c r="F25" s="36" t="str">
        <f t="shared" si="0"/>
        <v>KISTE</v>
      </c>
      <c r="G25" s="36">
        <f>IF(B25="","",'PEDIDO WEPP'!F25)</f>
        <v>1</v>
      </c>
      <c r="H25" s="36">
        <f>IF(B25="","",'PEDIDO WEPP'!H25)</f>
        <v>24</v>
      </c>
      <c r="I25" s="36">
        <f>IF(B25="","",'PEDIDO WEPP'!I25)</f>
        <v>2.95</v>
      </c>
      <c r="J25" s="64">
        <f>IF(B25="","",'PEDIDO WEPP'!J25)</f>
        <v>70.800000000000011</v>
      </c>
    </row>
    <row r="26" spans="2:10" s="30" customFormat="1" ht="15" customHeight="1" x14ac:dyDescent="0.3">
      <c r="B26" s="81" t="str">
        <f>'PEDIDO WEPP'!C26</f>
        <v>2010 SF</v>
      </c>
      <c r="C26" s="58" t="str">
        <f>IF(B26="","",VLOOKUP(B26,DATOS!$F$3:$H$139,3,FALSE))</f>
        <v>Motor System Reiniger (Lösungsmittelfrei)</v>
      </c>
      <c r="D26" s="35" t="str">
        <f>IF(B26="","",'PEDIDO WEPP'!D26)</f>
        <v>300 ml</v>
      </c>
      <c r="E26" s="36" t="str">
        <f>IF(B26="","",'PEDIDO WEPP'!E26)</f>
        <v>unidad</v>
      </c>
      <c r="F26" s="36" t="str">
        <f t="shared" si="0"/>
        <v>STÜCK</v>
      </c>
      <c r="G26" s="36">
        <f>IF(B26="","",'PEDIDO WEPP'!F26)</f>
        <v>4</v>
      </c>
      <c r="H26" s="36">
        <f>IF(B26="","",'PEDIDO WEPP'!H26)</f>
        <v>4</v>
      </c>
      <c r="I26" s="36">
        <f>IF(B26="","",'PEDIDO WEPP'!I26)</f>
        <v>2.95</v>
      </c>
      <c r="J26" s="64">
        <f>IF(B26="","",'PEDIDO WEPP'!J26)</f>
        <v>11.8</v>
      </c>
    </row>
    <row r="27" spans="2:10" s="30" customFormat="1" ht="15" customHeight="1" x14ac:dyDescent="0.3">
      <c r="B27" s="81" t="str">
        <f>'PEDIDO WEPP'!C27</f>
        <v>2010 SF</v>
      </c>
      <c r="C27" s="58" t="str">
        <f>IF(B27="","",VLOOKUP(B27,DATOS!$F$3:$H$139,3,FALSE))</f>
        <v>Motor System Reiniger (Lösungsmittelfrei)</v>
      </c>
      <c r="D27" s="35" t="str">
        <f>IF(B27="","",'PEDIDO WEPP'!D27)</f>
        <v>300 ml</v>
      </c>
      <c r="E27" s="36" t="str">
        <f>IF(B27="","",'PEDIDO WEPP'!E27)</f>
        <v>unidad</v>
      </c>
      <c r="F27" s="36" t="str">
        <f t="shared" si="0"/>
        <v>STÜCK</v>
      </c>
      <c r="G27" s="36">
        <f>IF(B27="","",'PEDIDO WEPP'!F27)</f>
        <v>6</v>
      </c>
      <c r="H27" s="36">
        <f>IF(B27="","",'PEDIDO WEPP'!H27)</f>
        <v>6</v>
      </c>
      <c r="I27" s="36">
        <f>IF(B27="","",'PEDIDO WEPP'!I27)</f>
        <v>2.95</v>
      </c>
      <c r="J27" s="64">
        <f>IF(B27="","",'PEDIDO WEPP'!J27)</f>
        <v>17.700000000000003</v>
      </c>
    </row>
    <row r="28" spans="2:10" s="30" customFormat="1" ht="15" customHeight="1" x14ac:dyDescent="0.3">
      <c r="B28" s="81" t="str">
        <f>'PEDIDO WEPP'!C28</f>
        <v>2010 SF</v>
      </c>
      <c r="C28" s="58" t="str">
        <f>IF(B28="","",VLOOKUP(B28,DATOS!$F$3:$H$139,3,FALSE))</f>
        <v>Motor System Reiniger (Lösungsmittelfrei)</v>
      </c>
      <c r="D28" s="35" t="str">
        <f>IF(B28="","",'PEDIDO WEPP'!D28)</f>
        <v>300 ml</v>
      </c>
      <c r="E28" s="36" t="str">
        <f>IF(B28="","",'PEDIDO WEPP'!E28)</f>
        <v>caja</v>
      </c>
      <c r="F28" s="36" t="str">
        <f t="shared" si="0"/>
        <v>KISTE</v>
      </c>
      <c r="G28" s="36">
        <f>IF(B28="","",'PEDIDO WEPP'!F28)</f>
        <v>1</v>
      </c>
      <c r="H28" s="36">
        <f>IF(B28="","",'PEDIDO WEPP'!H28)</f>
        <v>24</v>
      </c>
      <c r="I28" s="36">
        <f>IF(B28="","",'PEDIDO WEPP'!I28)</f>
        <v>2.95</v>
      </c>
      <c r="J28" s="64">
        <f>IF(B28="","",'PEDIDO WEPP'!J28)</f>
        <v>70.800000000000011</v>
      </c>
    </row>
    <row r="29" spans="2:10" s="30" customFormat="1" ht="15" customHeight="1" thickBot="1" x14ac:dyDescent="0.35">
      <c r="B29" s="82" t="str">
        <f>'PEDIDO WEPP'!C29</f>
        <v>2010 SF</v>
      </c>
      <c r="C29" s="83" t="str">
        <f>IF(B29="","",VLOOKUP(B29,DATOS!$F$3:$H$139,3,FALSE))</f>
        <v>Motor System Reiniger (Lösungsmittelfrei)</v>
      </c>
      <c r="D29" s="66" t="str">
        <f>IF(B29="","",'PEDIDO WEPP'!D29)</f>
        <v>300 ml</v>
      </c>
      <c r="E29" s="67" t="str">
        <f>IF(B29="","",'PEDIDO WEPP'!E29)</f>
        <v>unidad</v>
      </c>
      <c r="F29" s="67" t="str">
        <f t="shared" si="0"/>
        <v>STÜCK</v>
      </c>
      <c r="G29" s="67">
        <f>IF(B29="","",'PEDIDO WEPP'!F29)</f>
        <v>2</v>
      </c>
      <c r="H29" s="67">
        <f>IF(B29="","",'PEDIDO WEPP'!H29)</f>
        <v>2</v>
      </c>
      <c r="I29" s="67">
        <f>IF(B29="","",'PEDIDO WEPP'!I29)</f>
        <v>2.95</v>
      </c>
      <c r="J29" s="68">
        <f>IF(B29="","",'PEDIDO WEPP'!J29)</f>
        <v>5.9</v>
      </c>
    </row>
    <row r="30" spans="2:10" s="30" customFormat="1" ht="19.95" customHeight="1" thickBot="1" x14ac:dyDescent="0.35">
      <c r="C30" s="37"/>
      <c r="D30" s="37"/>
      <c r="E30" s="38"/>
      <c r="F30" s="38"/>
      <c r="G30" s="39"/>
      <c r="H30" s="39"/>
      <c r="I30" s="39"/>
      <c r="J30" s="89">
        <f>SUM(J10:J29)</f>
        <v>1042.5000000000002</v>
      </c>
    </row>
    <row r="31" spans="2:10" s="30" customFormat="1" ht="19.95" customHeight="1" thickBot="1" x14ac:dyDescent="0.35">
      <c r="C31" s="37"/>
      <c r="D31" s="37"/>
      <c r="E31" s="38"/>
      <c r="F31" s="38"/>
      <c r="G31" s="39"/>
    </row>
    <row r="32" spans="2:10" s="31" customFormat="1" ht="24.9" customHeight="1" thickBot="1" x14ac:dyDescent="0.35">
      <c r="B32" s="94" t="s">
        <v>247</v>
      </c>
      <c r="C32" s="111"/>
      <c r="D32" s="111"/>
      <c r="E32" s="111"/>
      <c r="F32" s="111"/>
      <c r="G32" s="111"/>
      <c r="H32" s="112"/>
      <c r="I32" s="75" t="s">
        <v>253</v>
      </c>
      <c r="J32" s="76" t="str">
        <f>'PEDIDO WEPP'!J32</f>
        <v>2025-0001</v>
      </c>
    </row>
    <row r="33" spans="2:10" s="33" customFormat="1" ht="15" customHeight="1" x14ac:dyDescent="0.3">
      <c r="B33" s="84" t="s">
        <v>261</v>
      </c>
      <c r="C33" s="85" t="s">
        <v>308</v>
      </c>
      <c r="D33" s="86" t="s">
        <v>250</v>
      </c>
      <c r="E33" s="86" t="s">
        <v>1</v>
      </c>
      <c r="F33" s="86"/>
      <c r="G33" s="86" t="s">
        <v>309</v>
      </c>
      <c r="H33" s="86" t="s">
        <v>2</v>
      </c>
      <c r="I33" s="86" t="s">
        <v>339</v>
      </c>
      <c r="J33" s="87" t="s">
        <v>273</v>
      </c>
    </row>
    <row r="34" spans="2:10" s="30" customFormat="1" ht="15" customHeight="1" x14ac:dyDescent="0.3">
      <c r="B34" s="81">
        <f>'PEDIDO WEPP'!C34</f>
        <v>7050250</v>
      </c>
      <c r="C34" s="58" t="str">
        <f>IF(B34="","",VLOOKUP(B34,DATOS!$F$3:$H$139,3,FALSE))</f>
        <v>AC Leckindikator</v>
      </c>
      <c r="D34" s="35" t="str">
        <f>IF(B34="","",'PEDIDO WEPP'!D34)</f>
        <v>250 ml</v>
      </c>
      <c r="E34" s="36" t="str">
        <f>IF(B34="","",'PEDIDO WEPP'!E34)</f>
        <v>unidad</v>
      </c>
      <c r="F34" s="36" t="str">
        <f>IF(E34="CAJA","KISTE",IF(E34="unidad","STÜCK",""))</f>
        <v>STÜCK</v>
      </c>
      <c r="G34" s="36">
        <f>IF(B34="","",'PEDIDO WEPP'!F34)</f>
        <v>2</v>
      </c>
      <c r="H34" s="36">
        <f>IF(B34="","",'PEDIDO WEPP'!H34)</f>
        <v>2</v>
      </c>
      <c r="I34" s="36">
        <f>IF(B34="","",'PEDIDO WEPP'!I34)</f>
        <v>12.9</v>
      </c>
      <c r="J34" s="64">
        <f>IF(B34="","",'PEDIDO WEPP'!J34)</f>
        <v>25.8</v>
      </c>
    </row>
    <row r="35" spans="2:10" s="30" customFormat="1" ht="15" customHeight="1" x14ac:dyDescent="0.3">
      <c r="B35" s="81">
        <f>'PEDIDO WEPP'!C35</f>
        <v>7035001</v>
      </c>
      <c r="C35" s="58" t="str">
        <f>IF(B35="","",VLOOKUP(B35,DATOS!$F$3:$H$139,3,FALSE))</f>
        <v>POE 68 + UV</v>
      </c>
      <c r="D35" s="35" t="str">
        <f>IF(B35="","",'PEDIDO WEPP'!D35)</f>
        <v>1000 ml</v>
      </c>
      <c r="E35" s="36" t="str">
        <f>IF(B35="","",'PEDIDO WEPP'!E35)</f>
        <v>unidad</v>
      </c>
      <c r="F35" s="36" t="str">
        <f t="shared" ref="F35:F61" si="1">IF(E35="CAJA","KISTE",IF(E35="unidad","STÜCK",""))</f>
        <v>STÜCK</v>
      </c>
      <c r="G35" s="36">
        <f>IF(B35="","",'PEDIDO WEPP'!F35)</f>
        <v>2</v>
      </c>
      <c r="H35" s="36">
        <f>IF(B35="","",'PEDIDO WEPP'!H35)</f>
        <v>2</v>
      </c>
      <c r="I35" s="36">
        <f>IF(B35="","",'PEDIDO WEPP'!I35)</f>
        <v>13.85</v>
      </c>
      <c r="J35" s="64">
        <f>IF(B35="","",'PEDIDO WEPP'!J35)</f>
        <v>27.7</v>
      </c>
    </row>
    <row r="36" spans="2:10" s="30" customFormat="1" ht="15" customHeight="1" x14ac:dyDescent="0.3">
      <c r="B36" s="81">
        <f>'PEDIDO WEPP'!C36</f>
        <v>2030</v>
      </c>
      <c r="C36" s="58" t="str">
        <f>IF(B36="","",VLOOKUP(B36,DATOS!$F$3:$H$139,3,FALSE))</f>
        <v>Diesel Intensiv Reiniger</v>
      </c>
      <c r="D36" s="35" t="str">
        <f>IF(B36="","",'PEDIDO WEPP'!D36)</f>
        <v>500 ml</v>
      </c>
      <c r="E36" s="36" t="str">
        <f>IF(B36="","",'PEDIDO WEPP'!E36)</f>
        <v>caja</v>
      </c>
      <c r="F36" s="36" t="str">
        <f t="shared" si="1"/>
        <v>KISTE</v>
      </c>
      <c r="G36" s="36">
        <f>IF(B36="","",'PEDIDO WEPP'!F36)</f>
        <v>2</v>
      </c>
      <c r="H36" s="36">
        <f>IF(B36="","",'PEDIDO WEPP'!H36)</f>
        <v>48</v>
      </c>
      <c r="I36" s="36">
        <f>IF(B36="","",'PEDIDO WEPP'!I36)</f>
        <v>3.65</v>
      </c>
      <c r="J36" s="64">
        <f>IF(B36="","",'PEDIDO WEPP'!J36)</f>
        <v>175.2</v>
      </c>
    </row>
    <row r="37" spans="2:10" s="30" customFormat="1" ht="15" customHeight="1" x14ac:dyDescent="0.3">
      <c r="B37" s="81">
        <f>'PEDIDO WEPP'!C37</f>
        <v>2130</v>
      </c>
      <c r="C37" s="58" t="str">
        <f>IF(B37="","",VLOOKUP(B37,DATOS!$F$3:$H$139,3,FALSE))</f>
        <v>Diesel Einlass Reiniger Spray</v>
      </c>
      <c r="D37" s="35" t="str">
        <f>IF(B37="","",'PEDIDO WEPP'!D37)</f>
        <v>400 ml</v>
      </c>
      <c r="E37" s="36" t="str">
        <f>IF(B37="","",'PEDIDO WEPP'!E37)</f>
        <v>unidad</v>
      </c>
      <c r="F37" s="36" t="str">
        <f t="shared" si="1"/>
        <v>STÜCK</v>
      </c>
      <c r="G37" s="36">
        <f>IF(B37="","",'PEDIDO WEPP'!F37)</f>
        <v>2</v>
      </c>
      <c r="H37" s="36">
        <f>IF(B37="","",'PEDIDO WEPP'!H37)</f>
        <v>2</v>
      </c>
      <c r="I37" s="36">
        <f>IF(B37="","",'PEDIDO WEPP'!I37)</f>
        <v>3.95</v>
      </c>
      <c r="J37" s="64">
        <f>IF(B37="","",'PEDIDO WEPP'!J37)</f>
        <v>7.9</v>
      </c>
    </row>
    <row r="38" spans="2:10" s="30" customFormat="1" ht="15" customHeight="1" x14ac:dyDescent="0.3">
      <c r="B38" s="81">
        <f>'PEDIDO WEPP'!C38</f>
        <v>2230</v>
      </c>
      <c r="C38" s="58" t="str">
        <f>IF(B38="","",VLOOKUP(B38,DATOS!$F$3:$H$139,3,FALSE))</f>
        <v>Turbo AGR Ansaugreiniger</v>
      </c>
      <c r="D38" s="35" t="str">
        <f>IF(B38="","",'PEDIDO WEPP'!D38)</f>
        <v>400 ml</v>
      </c>
      <c r="E38" s="36" t="str">
        <f>IF(B38="","",'PEDIDO WEPP'!E38)</f>
        <v>unidad</v>
      </c>
      <c r="F38" s="36" t="str">
        <f t="shared" si="1"/>
        <v>STÜCK</v>
      </c>
      <c r="G38" s="36">
        <f>IF(B38="","",'PEDIDO WEPP'!F38)</f>
        <v>4</v>
      </c>
      <c r="H38" s="36">
        <f>IF(B38="","",'PEDIDO WEPP'!H38)</f>
        <v>4</v>
      </c>
      <c r="I38" s="36">
        <f>IF(B38="","",'PEDIDO WEPP'!I38)</f>
        <v>6.5</v>
      </c>
      <c r="J38" s="64">
        <f>IF(B38="","",'PEDIDO WEPP'!J38)</f>
        <v>26</v>
      </c>
    </row>
    <row r="39" spans="2:10" s="30" customFormat="1" ht="15" customHeight="1" x14ac:dyDescent="0.3">
      <c r="B39" s="81">
        <f>'PEDIDO WEPP'!C39</f>
        <v>2031</v>
      </c>
      <c r="C39" s="58" t="str">
        <f>IF(B39="","",VLOOKUP(B39,DATOS!$F$3:$H$139,3,FALSE))</f>
        <v>Drosselklappen + Vergaserreiniger</v>
      </c>
      <c r="D39" s="35" t="str">
        <f>IF(B39="","",'PEDIDO WEPP'!D39)</f>
        <v>400 ml</v>
      </c>
      <c r="E39" s="36" t="str">
        <f>IF(B39="","",'PEDIDO WEPP'!E39)</f>
        <v>unidad</v>
      </c>
      <c r="F39" s="36" t="str">
        <f t="shared" si="1"/>
        <v>STÜCK</v>
      </c>
      <c r="G39" s="36">
        <f>IF(B39="","",'PEDIDO WEPP'!F39)</f>
        <v>4</v>
      </c>
      <c r="H39" s="36">
        <f>IF(B39="","",'PEDIDO WEPP'!H39)</f>
        <v>4</v>
      </c>
      <c r="I39" s="36">
        <f>IF(B39="","",'PEDIDO WEPP'!I39)</f>
        <v>3.5</v>
      </c>
      <c r="J39" s="64">
        <f>IF(B39="","",'PEDIDO WEPP'!J39)</f>
        <v>14</v>
      </c>
    </row>
    <row r="40" spans="2:10" s="30" customFormat="1" ht="15" customHeight="1" x14ac:dyDescent="0.3">
      <c r="B40" s="81" t="str">
        <f>'PEDIDO WEPP'!C40</f>
        <v>2032-300</v>
      </c>
      <c r="C40" s="58" t="str">
        <f>IF(B40="","",VLOOKUP(B40,DATOS!$F$3:$H$139,3,FALSE))</f>
        <v>Diesel System Schutz</v>
      </c>
      <c r="D40" s="35" t="str">
        <f>IF(B40="","",'PEDIDO WEPP'!D40)</f>
        <v>300 ml</v>
      </c>
      <c r="E40" s="36" t="str">
        <f>IF(B40="","",'PEDIDO WEPP'!E40)</f>
        <v>caja</v>
      </c>
      <c r="F40" s="36" t="str">
        <f t="shared" si="1"/>
        <v>KISTE</v>
      </c>
      <c r="G40" s="36">
        <f>IF(B40="","",'PEDIDO WEPP'!F40)</f>
        <v>2</v>
      </c>
      <c r="H40" s="36">
        <f>IF(B40="","",'PEDIDO WEPP'!H40)</f>
        <v>48</v>
      </c>
      <c r="I40" s="36">
        <f>IF(B40="","",'PEDIDO WEPP'!I40)</f>
        <v>2.5499999999999998</v>
      </c>
      <c r="J40" s="64">
        <f>IF(B40="","",'PEDIDO WEPP'!J40)</f>
        <v>122.39999999999999</v>
      </c>
    </row>
    <row r="41" spans="2:10" s="30" customFormat="1" ht="15" customHeight="1" x14ac:dyDescent="0.3">
      <c r="B41" s="81" t="str">
        <f>'PEDIDO WEPP'!C41</f>
        <v>2032+</v>
      </c>
      <c r="C41" s="58" t="str">
        <f>IF(B41="","",VLOOKUP(B41,DATOS!$F$3:$H$139,3,FALSE))</f>
        <v>Diesel Complete Clean</v>
      </c>
      <c r="D41" s="35" t="str">
        <f>IF(B41="","",'PEDIDO WEPP'!D41)</f>
        <v>250 ml</v>
      </c>
      <c r="E41" s="36" t="str">
        <f>IF(B41="","",'PEDIDO WEPP'!E41)</f>
        <v>caja</v>
      </c>
      <c r="F41" s="36" t="str">
        <f t="shared" si="1"/>
        <v>KISTE</v>
      </c>
      <c r="G41" s="36">
        <f>IF(B41="","",'PEDIDO WEPP'!F41)</f>
        <v>2</v>
      </c>
      <c r="H41" s="36">
        <f>IF(B41="","",'PEDIDO WEPP'!H41)</f>
        <v>48</v>
      </c>
      <c r="I41" s="36">
        <f>IF(B41="","",'PEDIDO WEPP'!I41)</f>
        <v>3.6</v>
      </c>
      <c r="J41" s="64">
        <f>IF(B41="","",'PEDIDO WEPP'!J41)</f>
        <v>172.8</v>
      </c>
    </row>
    <row r="42" spans="2:10" s="30" customFormat="1" ht="15" customHeight="1" x14ac:dyDescent="0.3">
      <c r="B42" s="81">
        <f>'PEDIDO WEPP'!C42</f>
        <v>732</v>
      </c>
      <c r="C42" s="58" t="str">
        <f>IF(B42="","",VLOOKUP(B42,DATOS!$F$3:$H$139,3,FALSE))</f>
        <v>SCR Schutz</v>
      </c>
      <c r="D42" s="35" t="str">
        <f>IF(B42="","",'PEDIDO WEPP'!D42)</f>
        <v>50 ml</v>
      </c>
      <c r="E42" s="36" t="str">
        <f>IF(B42="","",'PEDIDO WEPP'!E42)</f>
        <v>unidad</v>
      </c>
      <c r="F42" s="36" t="str">
        <f t="shared" si="1"/>
        <v>STÜCK</v>
      </c>
      <c r="G42" s="36">
        <f>IF(B42="","",'PEDIDO WEPP'!F42)</f>
        <v>20</v>
      </c>
      <c r="H42" s="36">
        <f>IF(B42="","",'PEDIDO WEPP'!H42)</f>
        <v>20</v>
      </c>
      <c r="I42" s="36">
        <f>IF(B42="","",'PEDIDO WEPP'!I42)</f>
        <v>1.2</v>
      </c>
      <c r="J42" s="64">
        <f>IF(B42="","",'PEDIDO WEPP'!J42)</f>
        <v>24</v>
      </c>
    </row>
    <row r="43" spans="2:10" s="30" customFormat="1" ht="15" customHeight="1" x14ac:dyDescent="0.3">
      <c r="B43" s="81" t="str">
        <f>'PEDIDO WEPP'!C43</f>
        <v>2132-300</v>
      </c>
      <c r="C43" s="58" t="str">
        <f>IF(B43="","",VLOOKUP(B43,DATOS!$F$3:$H$139,3,FALSE))</f>
        <v>DPF/ Turbo Cleaner</v>
      </c>
      <c r="D43" s="35" t="str">
        <f>IF(B43="","",'PEDIDO WEPP'!D43)</f>
        <v>300 ml</v>
      </c>
      <c r="E43" s="36" t="str">
        <f>IF(B43="","",'PEDIDO WEPP'!E43)</f>
        <v>caja</v>
      </c>
      <c r="F43" s="36" t="str">
        <f t="shared" si="1"/>
        <v>KISTE</v>
      </c>
      <c r="G43" s="36">
        <f>IF(B43="","",'PEDIDO WEPP'!F43)</f>
        <v>4</v>
      </c>
      <c r="H43" s="36">
        <f>IF(B43="","",'PEDIDO WEPP'!H43)</f>
        <v>96</v>
      </c>
      <c r="I43" s="36">
        <f>IF(B43="","",'PEDIDO WEPP'!I43)</f>
        <v>3.9</v>
      </c>
      <c r="J43" s="64">
        <f>IF(B43="","",'PEDIDO WEPP'!J43)</f>
        <v>374.4</v>
      </c>
    </row>
    <row r="44" spans="2:10" s="30" customFormat="1" ht="15" customHeight="1" x14ac:dyDescent="0.3">
      <c r="B44" s="81">
        <f>'PEDIDO WEPP'!C44</f>
        <v>2232</v>
      </c>
      <c r="C44" s="58" t="str">
        <f>IF(B44="","",VLOOKUP(B44,DATOS!$F$3:$H$139,3,FALSE))</f>
        <v>DPF Direct Cleaner</v>
      </c>
      <c r="D44" s="35" t="str">
        <f>IF(B44="","",'PEDIDO WEPP'!D44)</f>
        <v>500 ml</v>
      </c>
      <c r="E44" s="36" t="str">
        <f>IF(B44="","",'PEDIDO WEPP'!E44)</f>
        <v>unidad</v>
      </c>
      <c r="F44" s="36" t="str">
        <f t="shared" si="1"/>
        <v>STÜCK</v>
      </c>
      <c r="G44" s="36">
        <f>IF(B44="","",'PEDIDO WEPP'!F44)</f>
        <v>1</v>
      </c>
      <c r="H44" s="36">
        <f>IF(B44="","",'PEDIDO WEPP'!H44)</f>
        <v>1</v>
      </c>
      <c r="I44" s="36">
        <f>IF(B44="","",'PEDIDO WEPP'!I44)</f>
        <v>6.85</v>
      </c>
      <c r="J44" s="64">
        <f>IF(B44="","",'PEDIDO WEPP'!J44)</f>
        <v>6.85</v>
      </c>
    </row>
    <row r="45" spans="2:10" s="30" customFormat="1" ht="15" customHeight="1" x14ac:dyDescent="0.3">
      <c r="B45" s="81">
        <f>'PEDIDO WEPP'!C45</f>
        <v>39001</v>
      </c>
      <c r="C45" s="58" t="str">
        <f>IF(B45="","",VLOOKUP(B45,DATOS!$F$3:$H$139,3,FALSE))</f>
        <v>Hohlraumschlauch</v>
      </c>
      <c r="D45" s="35" t="str">
        <f>IF(B45="","",'PEDIDO WEPP'!D45)</f>
        <v>- ml</v>
      </c>
      <c r="E45" s="36" t="str">
        <f>IF(B45="","",'PEDIDO WEPP'!E45)</f>
        <v>unidad</v>
      </c>
      <c r="F45" s="36" t="str">
        <f t="shared" si="1"/>
        <v>STÜCK</v>
      </c>
      <c r="G45" s="36">
        <f>IF(B45="","",'PEDIDO WEPP'!F45)</f>
        <v>1</v>
      </c>
      <c r="H45" s="36">
        <f>IF(B45="","",'PEDIDO WEPP'!H45)</f>
        <v>1</v>
      </c>
      <c r="I45" s="36">
        <f>IF(B45="","",'PEDIDO WEPP'!I45)</f>
        <v>20</v>
      </c>
      <c r="J45" s="64">
        <f>IF(B45="","",'PEDIDO WEPP'!J45)</f>
        <v>20</v>
      </c>
    </row>
    <row r="46" spans="2:10" s="30" customFormat="1" ht="15" customHeight="1" x14ac:dyDescent="0.3">
      <c r="B46" s="81">
        <f>'PEDIDO WEPP'!C46</f>
        <v>2033</v>
      </c>
      <c r="C46" s="58" t="str">
        <f>IF(B46="","",VLOOKUP(B46,DATOS!$F$3:$H$139,3,FALSE))</f>
        <v>Ventil Reiniger</v>
      </c>
      <c r="D46" s="35" t="str">
        <f>IF(B46="","",'PEDIDO WEPP'!D46)</f>
        <v>400 ml</v>
      </c>
      <c r="E46" s="36" t="str">
        <f>IF(B46="","",'PEDIDO WEPP'!E46)</f>
        <v>unidad</v>
      </c>
      <c r="F46" s="36" t="str">
        <f t="shared" si="1"/>
        <v>STÜCK</v>
      </c>
      <c r="G46" s="36">
        <f>IF(B46="","",'PEDIDO WEPP'!F46)</f>
        <v>2</v>
      </c>
      <c r="H46" s="36">
        <f>IF(B46="","",'PEDIDO WEPP'!H46)</f>
        <v>2</v>
      </c>
      <c r="I46" s="36">
        <f>IF(B46="","",'PEDIDO WEPP'!I46)</f>
        <v>4.9000000000000004</v>
      </c>
      <c r="J46" s="64">
        <f>IF(B46="","",'PEDIDO WEPP'!J46)</f>
        <v>9.8000000000000007</v>
      </c>
    </row>
    <row r="47" spans="2:10" s="30" customFormat="1" ht="15" customHeight="1" x14ac:dyDescent="0.3">
      <c r="B47" s="81" t="str">
        <f>'PEDIDO WEPP'!C47</f>
        <v>2034-300</v>
      </c>
      <c r="C47" s="58" t="str">
        <f>IF(B47="","",VLOOKUP(B47,DATOS!$F$3:$H$139,3,FALSE))</f>
        <v>Injection Cleaner</v>
      </c>
      <c r="D47" s="35" t="str">
        <f>IF(B47="","",'PEDIDO WEPP'!D47)</f>
        <v>300 ml</v>
      </c>
      <c r="E47" s="36" t="str">
        <f>IF(B47="","",'PEDIDO WEPP'!E47)</f>
        <v>caja</v>
      </c>
      <c r="F47" s="36" t="str">
        <f t="shared" si="1"/>
        <v>KISTE</v>
      </c>
      <c r="G47" s="36">
        <f>IF(B47="","",'PEDIDO WEPP'!F47)</f>
        <v>2</v>
      </c>
      <c r="H47" s="36">
        <f>IF(B47="","",'PEDIDO WEPP'!H47)</f>
        <v>48</v>
      </c>
      <c r="I47" s="36">
        <f>IF(B47="","",'PEDIDO WEPP'!I47)</f>
        <v>3.5</v>
      </c>
      <c r="J47" s="64">
        <f>IF(B47="","",'PEDIDO WEPP'!J47)</f>
        <v>168</v>
      </c>
    </row>
    <row r="48" spans="2:10" s="30" customFormat="1" ht="15" customHeight="1" x14ac:dyDescent="0.3">
      <c r="B48" s="81" t="str">
        <f>'PEDIDO WEPP'!C48</f>
        <v>2036-300</v>
      </c>
      <c r="C48" s="58" t="str">
        <f>IF(B48="","",VLOOKUP(B48,DATOS!$F$3:$H$139,3,FALSE))</f>
        <v>Einspritz System Schutz</v>
      </c>
      <c r="D48" s="35" t="str">
        <f>IF(B48="","",'PEDIDO WEPP'!D48)</f>
        <v>300 ml</v>
      </c>
      <c r="E48" s="36" t="str">
        <f>IF(B48="","",'PEDIDO WEPP'!E48)</f>
        <v>caja</v>
      </c>
      <c r="F48" s="36" t="str">
        <f t="shared" si="1"/>
        <v>KISTE</v>
      </c>
      <c r="G48" s="36">
        <f>IF(B48="","",'PEDIDO WEPP'!F48)</f>
        <v>1</v>
      </c>
      <c r="H48" s="36">
        <f>IF(B48="","",'PEDIDO WEPP'!H48)</f>
        <v>24</v>
      </c>
      <c r="I48" s="36">
        <f>IF(B48="","",'PEDIDO WEPP'!I48)</f>
        <v>2.6</v>
      </c>
      <c r="J48" s="64">
        <f>IF(B48="","",'PEDIDO WEPP'!J48)</f>
        <v>62.400000000000006</v>
      </c>
    </row>
    <row r="49" spans="2:10" s="30" customFormat="1" ht="15" customHeight="1" x14ac:dyDescent="0.3">
      <c r="B49" s="81" t="str">
        <f>'PEDIDO WEPP'!C49</f>
        <v>2036+</v>
      </c>
      <c r="C49" s="58" t="str">
        <f>IF(B49="","",VLOOKUP(B49,DATOS!$F$3:$H$139,3,FALSE))</f>
        <v>GDI Protection Bezin</v>
      </c>
      <c r="D49" s="35" t="str">
        <f>IF(B49="","",'PEDIDO WEPP'!D49)</f>
        <v>250 ml</v>
      </c>
      <c r="E49" s="36" t="str">
        <f>IF(B49="","",'PEDIDO WEPP'!E49)</f>
        <v>caja</v>
      </c>
      <c r="F49" s="36" t="str">
        <f t="shared" si="1"/>
        <v>KISTE</v>
      </c>
      <c r="G49" s="36">
        <f>IF(B49="","",'PEDIDO WEPP'!F49)</f>
        <v>2</v>
      </c>
      <c r="H49" s="36">
        <f>IF(B49="","",'PEDIDO WEPP'!H49)</f>
        <v>48</v>
      </c>
      <c r="I49" s="36">
        <f>IF(B49="","",'PEDIDO WEPP'!I49)</f>
        <v>3.75</v>
      </c>
      <c r="J49" s="64">
        <f>IF(B49="","",'PEDIDO WEPP'!J49)</f>
        <v>180</v>
      </c>
    </row>
    <row r="50" spans="2:10" s="30" customFormat="1" ht="15" customHeight="1" x14ac:dyDescent="0.3">
      <c r="B50" s="81">
        <f>'PEDIDO WEPP'!C50</f>
        <v>2536</v>
      </c>
      <c r="C50" s="58" t="str">
        <f>IF(B50="","",VLOOKUP(B50,DATOS!$F$3:$H$139,3,FALSE))</f>
        <v>Hybrid Benzin Additiv</v>
      </c>
      <c r="D50" s="35" t="str">
        <f>IF(B50="","",'PEDIDO WEPP'!D50)</f>
        <v>250 ml</v>
      </c>
      <c r="E50" s="36" t="str">
        <f>IF(B50="","",'PEDIDO WEPP'!E50)</f>
        <v>unidad</v>
      </c>
      <c r="F50" s="36" t="str">
        <f t="shared" si="1"/>
        <v>STÜCK</v>
      </c>
      <c r="G50" s="36">
        <f>IF(B50="","",'PEDIDO WEPP'!F50)</f>
        <v>6</v>
      </c>
      <c r="H50" s="36">
        <f>IF(B50="","",'PEDIDO WEPP'!H50)</f>
        <v>6</v>
      </c>
      <c r="I50" s="36">
        <f>IF(B50="","",'PEDIDO WEPP'!I50)</f>
        <v>2.95</v>
      </c>
      <c r="J50" s="64">
        <f>IF(B50="","",'PEDIDO WEPP'!J50)</f>
        <v>17.700000000000003</v>
      </c>
    </row>
    <row r="51" spans="2:10" s="30" customFormat="1" ht="15" customHeight="1" x14ac:dyDescent="0.3">
      <c r="B51" s="81">
        <f>'PEDIDO WEPP'!C51</f>
        <v>2038</v>
      </c>
      <c r="C51" s="58" t="str">
        <f>IF(B51="","",VLOOKUP(B51,DATOS!$F$3:$H$139,3,FALSE))</f>
        <v>Active Solvent</v>
      </c>
      <c r="D51" s="35" t="str">
        <f>IF(B51="","",'PEDIDO WEPP'!D51)</f>
        <v>400 ml</v>
      </c>
      <c r="E51" s="36" t="str">
        <f>IF(B51="","",'PEDIDO WEPP'!E51)</f>
        <v>unidad</v>
      </c>
      <c r="F51" s="36" t="str">
        <f t="shared" si="1"/>
        <v>STÜCK</v>
      </c>
      <c r="G51" s="36">
        <f>IF(B51="","",'PEDIDO WEPP'!F51)</f>
        <v>12</v>
      </c>
      <c r="H51" s="36">
        <f>IF(B51="","",'PEDIDO WEPP'!H51)</f>
        <v>12</v>
      </c>
      <c r="I51" s="36">
        <f>IF(B51="","",'PEDIDO WEPP'!I51)</f>
        <v>4.5</v>
      </c>
      <c r="J51" s="64">
        <f>IF(B51="","",'PEDIDO WEPP'!J51)</f>
        <v>54</v>
      </c>
    </row>
    <row r="52" spans="2:10" s="30" customFormat="1" ht="15" customHeight="1" x14ac:dyDescent="0.3">
      <c r="B52" s="81">
        <f>'PEDIDO WEPP'!C52</f>
        <v>2057</v>
      </c>
      <c r="C52" s="58" t="str">
        <f>IF(B52="","",VLOOKUP(B52,DATOS!$F$3:$H$139,3,FALSE))</f>
        <v>Bremsen System Schuz Spray</v>
      </c>
      <c r="D52" s="35" t="str">
        <f>IF(B52="","",'PEDIDO WEPP'!D52)</f>
        <v>50 ml</v>
      </c>
      <c r="E52" s="36" t="str">
        <f>IF(B52="","",'PEDIDO WEPP'!E52)</f>
        <v>unidad</v>
      </c>
      <c r="F52" s="36" t="str">
        <f t="shared" si="1"/>
        <v>STÜCK</v>
      </c>
      <c r="G52" s="36">
        <f>IF(B52="","",'PEDIDO WEPP'!F52)</f>
        <v>6</v>
      </c>
      <c r="H52" s="36">
        <f>IF(B52="","",'PEDIDO WEPP'!H52)</f>
        <v>6</v>
      </c>
      <c r="I52" s="36">
        <f>IF(B52="","",'PEDIDO WEPP'!I52)</f>
        <v>2.4500000000000002</v>
      </c>
      <c r="J52" s="64">
        <f>IF(B52="","",'PEDIDO WEPP'!J52)</f>
        <v>14.700000000000001</v>
      </c>
    </row>
    <row r="53" spans="2:10" s="30" customFormat="1" ht="15" customHeight="1" x14ac:dyDescent="0.3">
      <c r="B53" s="81">
        <f>'PEDIDO WEPP'!C53</f>
        <v>255</v>
      </c>
      <c r="C53" s="58" t="str">
        <f>IF(B53="","",VLOOKUP(B53,DATOS!$F$3:$H$139,3,FALSE))</f>
        <v>Bremsen Hi Tec</v>
      </c>
      <c r="D53" s="35" t="str">
        <f>IF(B53="","",'PEDIDO WEPP'!D53)</f>
        <v>400 ml</v>
      </c>
      <c r="E53" s="36" t="str">
        <f>IF(B53="","",'PEDIDO WEPP'!E53)</f>
        <v>unidad</v>
      </c>
      <c r="F53" s="36" t="str">
        <f t="shared" si="1"/>
        <v>STÜCK</v>
      </c>
      <c r="G53" s="36">
        <f>IF(B53="","",'PEDIDO WEPP'!F53)</f>
        <v>6</v>
      </c>
      <c r="H53" s="36">
        <f>IF(B53="","",'PEDIDO WEPP'!H53)</f>
        <v>6</v>
      </c>
      <c r="I53" s="36">
        <f>IF(B53="","",'PEDIDO WEPP'!I53)</f>
        <v>3.75</v>
      </c>
      <c r="J53" s="64">
        <f>IF(B53="","",'PEDIDO WEPP'!J53)</f>
        <v>22.5</v>
      </c>
    </row>
    <row r="54" spans="2:10" s="30" customFormat="1" ht="15" customHeight="1" x14ac:dyDescent="0.3">
      <c r="B54" s="81">
        <f>'PEDIDO WEPP'!C54</f>
        <v>2255</v>
      </c>
      <c r="C54" s="58" t="str">
        <f>IF(B54="","",VLOOKUP(B54,DATOS!$F$3:$H$139,3,FALSE))</f>
        <v>Bremsenpaste mit Keramik</v>
      </c>
      <c r="D54" s="35" t="str">
        <f>IF(B54="","",'PEDIDO WEPP'!D54)</f>
        <v>200 ml</v>
      </c>
      <c r="E54" s="36" t="str">
        <f>IF(B54="","",'PEDIDO WEPP'!E54)</f>
        <v>unidad</v>
      </c>
      <c r="F54" s="36" t="str">
        <f>IF(E54="CAJA","KISTE",IF(E54="unidad","STÜCK",""))</f>
        <v>STÜCK</v>
      </c>
      <c r="G54" s="36">
        <f>IF(B54="","",'PEDIDO WEPP'!F54)</f>
        <v>6</v>
      </c>
      <c r="H54" s="36">
        <f>IF(B54="","",'PEDIDO WEPP'!H54)</f>
        <v>6</v>
      </c>
      <c r="I54" s="36">
        <f>IF(B54="","",'PEDIDO WEPP'!I54)</f>
        <v>0</v>
      </c>
      <c r="J54" s="64">
        <f>IF(B54="","",'PEDIDO WEPP'!J54)</f>
        <v>0</v>
      </c>
    </row>
    <row r="55" spans="2:10" s="30" customFormat="1" ht="15" customHeight="1" x14ac:dyDescent="0.3">
      <c r="B55" s="81">
        <f>'PEDIDO WEPP'!C55</f>
        <v>2455</v>
      </c>
      <c r="C55" s="58" t="str">
        <f>IF(B55="","",VLOOKUP(B55,DATOS!$F$3:$H$139,3,FALSE))</f>
        <v>Bremsen Paste</v>
      </c>
      <c r="D55" s="35" t="str">
        <f>IF(B55="","",'PEDIDO WEPP'!D55)</f>
        <v>200 ml</v>
      </c>
      <c r="E55" s="36" t="str">
        <f>IF(B55="","",'PEDIDO WEPP'!E55)</f>
        <v>unidad</v>
      </c>
      <c r="F55" s="36" t="str">
        <f t="shared" si="1"/>
        <v>STÜCK</v>
      </c>
      <c r="G55" s="36">
        <f>IF(B55="","",'PEDIDO WEPP'!F55)</f>
        <v>6</v>
      </c>
      <c r="H55" s="36">
        <f>IF(B55="","",'PEDIDO WEPP'!H55)</f>
        <v>6</v>
      </c>
      <c r="I55" s="36">
        <f>IF(B55="","",'PEDIDO WEPP'!I55)</f>
        <v>7.55</v>
      </c>
      <c r="J55" s="64">
        <f>IF(B55="","",'PEDIDO WEPP'!J55)</f>
        <v>45.3</v>
      </c>
    </row>
    <row r="56" spans="2:10" s="30" customFormat="1" ht="15" customHeight="1" x14ac:dyDescent="0.3">
      <c r="B56" s="81">
        <f>'PEDIDO WEPP'!C56</f>
        <v>2022</v>
      </c>
      <c r="C56" s="58" t="str">
        <f>IF(B56="","",VLOOKUP(B56,DATOS!$F$3:$H$139,3,FALSE))</f>
        <v>Scheibenfrostschutz</v>
      </c>
      <c r="D56" s="35" t="str">
        <f>IF(B56="","",'PEDIDO WEPP'!D56)</f>
        <v>1000 ml</v>
      </c>
      <c r="E56" s="36" t="str">
        <f>IF(B56="","",'PEDIDO WEPP'!E56)</f>
        <v>unidad</v>
      </c>
      <c r="F56" s="36" t="str">
        <f t="shared" si="1"/>
        <v>STÜCK</v>
      </c>
      <c r="G56" s="36">
        <f>IF(B56="","",'PEDIDO WEPP'!F56)</f>
        <v>2</v>
      </c>
      <c r="H56" s="36">
        <f>IF(B56="","",'PEDIDO WEPP'!H56)</f>
        <v>2</v>
      </c>
      <c r="I56" s="36">
        <f>IF(B56="","",'PEDIDO WEPP'!I56)</f>
        <v>1.85</v>
      </c>
      <c r="J56" s="64">
        <f>IF(B56="","",'PEDIDO WEPP'!J56)</f>
        <v>3.7</v>
      </c>
    </row>
    <row r="57" spans="2:10" s="30" customFormat="1" ht="15" customHeight="1" x14ac:dyDescent="0.3">
      <c r="B57" s="81">
        <f>'PEDIDO WEPP'!C57</f>
        <v>2026</v>
      </c>
      <c r="C57" s="58" t="str">
        <f>IF(B57="","",VLOOKUP(B57,DATOS!$F$3:$H$139,3,FALSE))</f>
        <v>Scheibenwischer Konzentrat</v>
      </c>
      <c r="D57" s="35" t="str">
        <f>IF(B57="","",'PEDIDO WEPP'!D57)</f>
        <v>50 ml</v>
      </c>
      <c r="E57" s="36" t="str">
        <f>IF(B57="","",'PEDIDO WEPP'!E57)</f>
        <v>caja</v>
      </c>
      <c r="F57" s="36" t="str">
        <f t="shared" si="1"/>
        <v>KISTE</v>
      </c>
      <c r="G57" s="36">
        <f>IF(B57="","",'PEDIDO WEPP'!F57)</f>
        <v>1</v>
      </c>
      <c r="H57" s="36">
        <f>IF(B57="","",'PEDIDO WEPP'!H57)</f>
        <v>126</v>
      </c>
      <c r="I57" s="36">
        <f>IF(B57="","",'PEDIDO WEPP'!I57)</f>
        <v>0.55000000000000004</v>
      </c>
      <c r="J57" s="64">
        <f>IF(B57="","",'PEDIDO WEPP'!J57)</f>
        <v>69.300000000000011</v>
      </c>
    </row>
    <row r="58" spans="2:10" s="30" customFormat="1" ht="15" customHeight="1" x14ac:dyDescent="0.3">
      <c r="B58" s="81">
        <f>'PEDIDO WEPP'!C58</f>
        <v>2040</v>
      </c>
      <c r="C58" s="58" t="str">
        <f>IF(B58="","",VLOOKUP(B58,DATOS!$F$3:$H$139,3,FALSE))</f>
        <v>Haftsynthese</v>
      </c>
      <c r="D58" s="35" t="str">
        <f>IF(B58="","",'PEDIDO WEPP'!D58)</f>
        <v>400 ml</v>
      </c>
      <c r="E58" s="36" t="str">
        <f>IF(B58="","",'PEDIDO WEPP'!E58)</f>
        <v>unidad</v>
      </c>
      <c r="F58" s="36" t="str">
        <f t="shared" si="1"/>
        <v>STÜCK</v>
      </c>
      <c r="G58" s="36">
        <f>IF(B58="","",'PEDIDO WEPP'!F58)</f>
        <v>4</v>
      </c>
      <c r="H58" s="36">
        <f>IF(B58="","",'PEDIDO WEPP'!H58)</f>
        <v>4</v>
      </c>
      <c r="I58" s="36">
        <f>IF(B58="","",'PEDIDO WEPP'!I58)</f>
        <v>0</v>
      </c>
      <c r="J58" s="64">
        <f>IF(B58="","",'PEDIDO WEPP'!J58)</f>
        <v>0</v>
      </c>
    </row>
    <row r="59" spans="2:10" s="30" customFormat="1" ht="15" customHeight="1" x14ac:dyDescent="0.3">
      <c r="B59" s="81">
        <f>'PEDIDO WEPP'!C59</f>
        <v>2041</v>
      </c>
      <c r="C59" s="58" t="str">
        <f>IF(B59="","",VLOOKUP(B59,DATOS!$F$3:$H$139,3,FALSE))</f>
        <v>Haftschmier</v>
      </c>
      <c r="D59" s="35" t="str">
        <f>IF(B59="","",'PEDIDO WEPP'!D59)</f>
        <v>400 ml</v>
      </c>
      <c r="E59" s="36" t="str">
        <f>IF(B59="","",'PEDIDO WEPP'!E59)</f>
        <v>unidad</v>
      </c>
      <c r="F59" s="36" t="str">
        <f t="shared" si="1"/>
        <v>STÜCK</v>
      </c>
      <c r="G59" s="36">
        <f>IF(B59="","",'PEDIDO WEPP'!F59)</f>
        <v>4</v>
      </c>
      <c r="H59" s="36">
        <f>IF(B59="","",'PEDIDO WEPP'!H59)</f>
        <v>4</v>
      </c>
      <c r="I59" s="36">
        <f>IF(B59="","",'PEDIDO WEPP'!I59)</f>
        <v>3.7</v>
      </c>
      <c r="J59" s="64">
        <f>IF(B59="","",'PEDIDO WEPP'!J59)</f>
        <v>14.8</v>
      </c>
    </row>
    <row r="60" spans="2:10" s="30" customFormat="1" ht="15" customHeight="1" x14ac:dyDescent="0.3">
      <c r="B60" s="81">
        <f>'PEDIDO WEPP'!C60</f>
        <v>2042</v>
      </c>
      <c r="C60" s="58" t="str">
        <f>IF(B60="","",VLOOKUP(B60,DATOS!$F$3:$H$139,3,FALSE))</f>
        <v>Fliessfett transparent</v>
      </c>
      <c r="D60" s="35" t="str">
        <f>IF(B60="","",'PEDIDO WEPP'!D60)</f>
        <v>400 ml</v>
      </c>
      <c r="E60" s="36" t="str">
        <f>IF(B60="","",'PEDIDO WEPP'!E60)</f>
        <v>unidad</v>
      </c>
      <c r="F60" s="36" t="str">
        <f t="shared" si="1"/>
        <v>STÜCK</v>
      </c>
      <c r="G60" s="36">
        <f>IF(B60="","",'PEDIDO WEPP'!F60)</f>
        <v>12</v>
      </c>
      <c r="H60" s="36">
        <f>IF(B60="","",'PEDIDO WEPP'!H60)</f>
        <v>12</v>
      </c>
      <c r="I60" s="36">
        <f>IF(B60="","",'PEDIDO WEPP'!I60)</f>
        <v>3.85</v>
      </c>
      <c r="J60" s="64">
        <f>IF(B60="","",'PEDIDO WEPP'!J60)</f>
        <v>46.2</v>
      </c>
    </row>
    <row r="61" spans="2:10" s="30" customFormat="1" ht="15" customHeight="1" thickBot="1" x14ac:dyDescent="0.35">
      <c r="B61" s="82">
        <f>'PEDIDO WEPP'!C61</f>
        <v>2043</v>
      </c>
      <c r="C61" s="83" t="str">
        <f>IF(B61="","",VLOOKUP(B61,DATOS!$F$3:$H$139,3,FALSE))</f>
        <v>Wartungs Haftöl</v>
      </c>
      <c r="D61" s="66" t="str">
        <f>IF(B61="","",'PEDIDO WEPP'!D61)</f>
        <v>400 ml</v>
      </c>
      <c r="E61" s="67" t="str">
        <f>IF(B61="","",'PEDIDO WEPP'!E61)</f>
        <v>unidad</v>
      </c>
      <c r="F61" s="67" t="str">
        <f t="shared" si="1"/>
        <v>STÜCK</v>
      </c>
      <c r="G61" s="67">
        <f>IF(B61="","",'PEDIDO WEPP'!F61)</f>
        <v>4</v>
      </c>
      <c r="H61" s="67">
        <f>IF(B61="","",'PEDIDO WEPP'!H61)</f>
        <v>4</v>
      </c>
      <c r="I61" s="67">
        <f>IF(B61="","",'PEDIDO WEPP'!I61)</f>
        <v>3.15</v>
      </c>
      <c r="J61" s="68">
        <f>IF(B61="","",'PEDIDO WEPP'!J61)</f>
        <v>12.6</v>
      </c>
    </row>
    <row r="62" spans="2:10" s="30" customFormat="1" ht="19.95" customHeight="1" thickBot="1" x14ac:dyDescent="0.35">
      <c r="C62" s="37"/>
      <c r="D62" s="37"/>
      <c r="E62" s="38"/>
      <c r="F62" s="38"/>
      <c r="G62" s="39"/>
      <c r="H62" s="39"/>
      <c r="I62" s="39"/>
      <c r="J62" s="88">
        <f>SUM(J34:J61)</f>
        <v>1718.05</v>
      </c>
    </row>
    <row r="63" spans="2:10" s="31" customFormat="1" ht="24.9" customHeight="1" thickBot="1" x14ac:dyDescent="0.35">
      <c r="B63" s="94" t="s">
        <v>247</v>
      </c>
      <c r="C63" s="111"/>
      <c r="D63" s="111"/>
      <c r="E63" s="111"/>
      <c r="F63" s="111"/>
      <c r="G63" s="111"/>
      <c r="H63" s="112"/>
      <c r="I63" s="75" t="s">
        <v>253</v>
      </c>
      <c r="J63" s="76" t="str">
        <f>'PEDIDO WEPP'!J63</f>
        <v>2025-0001</v>
      </c>
    </row>
    <row r="64" spans="2:10" s="33" customFormat="1" ht="15" customHeight="1" x14ac:dyDescent="0.3">
      <c r="B64" s="84" t="s">
        <v>261</v>
      </c>
      <c r="C64" s="85" t="s">
        <v>308</v>
      </c>
      <c r="D64" s="86" t="s">
        <v>250</v>
      </c>
      <c r="E64" s="86" t="s">
        <v>1</v>
      </c>
      <c r="F64" s="86"/>
      <c r="G64" s="86" t="s">
        <v>309</v>
      </c>
      <c r="H64" s="86" t="s">
        <v>2</v>
      </c>
      <c r="I64" s="86" t="s">
        <v>339</v>
      </c>
      <c r="J64" s="87" t="s">
        <v>273</v>
      </c>
    </row>
    <row r="65" spans="2:10" s="30" customFormat="1" ht="15" customHeight="1" x14ac:dyDescent="0.3">
      <c r="B65" s="81">
        <f>'PEDIDO WEPP'!C65</f>
        <v>2045</v>
      </c>
      <c r="C65" s="58" t="str">
        <f>IF(B65="","",VLOOKUP(B65,DATOS!$F$3:$H$139,3,FALSE))</f>
        <v>Silikon Gleitfett</v>
      </c>
      <c r="D65" s="35" t="str">
        <f>IF(B65="","",'PEDIDO WEPP'!D65)</f>
        <v>400 ml</v>
      </c>
      <c r="E65" s="36" t="str">
        <f>IF(B65="","",'PEDIDO WEPP'!E65)</f>
        <v>unidad</v>
      </c>
      <c r="F65" s="36" t="str">
        <f>IF(E65="CAJA","KISTE",IF(E65="unidad","STÜCK",""))</f>
        <v>STÜCK</v>
      </c>
      <c r="G65" s="36">
        <f>IF(B65="","",'PEDIDO WEPP'!F65)</f>
        <v>2</v>
      </c>
      <c r="H65" s="36">
        <f>IF(B65="","",'PEDIDO WEPP'!H65)</f>
        <v>2</v>
      </c>
      <c r="I65" s="36">
        <f>IF(B65="","",'PEDIDO WEPP'!I65)</f>
        <v>3.9</v>
      </c>
      <c r="J65" s="64">
        <f>IF(B65="","",'PEDIDO WEPP'!J65)</f>
        <v>7.8</v>
      </c>
    </row>
    <row r="66" spans="2:10" s="30" customFormat="1" ht="15" customHeight="1" x14ac:dyDescent="0.3">
      <c r="B66" s="81">
        <f>'PEDIDO WEPP'!C66</f>
        <v>2246</v>
      </c>
      <c r="C66" s="58" t="str">
        <f>IF(B66="","",VLOOKUP(B66,DATOS!$F$3:$H$139,3,FALSE))</f>
        <v>Super Rostlöser Active</v>
      </c>
      <c r="D66" s="35" t="str">
        <f>IF(B66="","",'PEDIDO WEPP'!D66)</f>
        <v>400 ml</v>
      </c>
      <c r="E66" s="36" t="str">
        <f>IF(B66="","",'PEDIDO WEPP'!E66)</f>
        <v>caja</v>
      </c>
      <c r="F66" s="36" t="str">
        <f t="shared" ref="F66:F92" si="2">IF(E66="CAJA","KISTE",IF(E66="unidad","STÜCK",""))</f>
        <v>KISTE</v>
      </c>
      <c r="G66" s="36">
        <f>IF(B66="","",'PEDIDO WEPP'!F66)</f>
        <v>2</v>
      </c>
      <c r="H66" s="36">
        <f>IF(B66="","",'PEDIDO WEPP'!H66)</f>
        <v>48</v>
      </c>
      <c r="I66" s="36">
        <f>IF(B66="","",'PEDIDO WEPP'!I66)</f>
        <v>3.75</v>
      </c>
      <c r="J66" s="64">
        <f>IF(B66="","",'PEDIDO WEPP'!J66)</f>
        <v>180</v>
      </c>
    </row>
    <row r="67" spans="2:10" s="30" customFormat="1" ht="15" customHeight="1" x14ac:dyDescent="0.3">
      <c r="B67" s="81">
        <f>'PEDIDO WEPP'!C67</f>
        <v>2047</v>
      </c>
      <c r="C67" s="58" t="str">
        <f>IF(B67="","",VLOOKUP(B67,DATOS!$F$3:$H$139,3,FALSE))</f>
        <v>Silikonspray</v>
      </c>
      <c r="D67" s="35" t="str">
        <f>IF(B67="","",'PEDIDO WEPP'!D67)</f>
        <v>400 ml</v>
      </c>
      <c r="E67" s="36" t="str">
        <f>IF(B67="","",'PEDIDO WEPP'!E67)</f>
        <v>unidad</v>
      </c>
      <c r="F67" s="36" t="str">
        <f t="shared" si="2"/>
        <v>STÜCK</v>
      </c>
      <c r="G67" s="36">
        <f>IF(B67="","",'PEDIDO WEPP'!F67)</f>
        <v>4</v>
      </c>
      <c r="H67" s="36">
        <f>IF(B67="","",'PEDIDO WEPP'!H67)</f>
        <v>4</v>
      </c>
      <c r="I67" s="36">
        <f>IF(B67="","",'PEDIDO WEPP'!I67)</f>
        <v>2.5</v>
      </c>
      <c r="J67" s="64">
        <f>IF(B67="","",'PEDIDO WEPP'!J67)</f>
        <v>10</v>
      </c>
    </row>
    <row r="68" spans="2:10" s="30" customFormat="1" ht="15" customHeight="1" x14ac:dyDescent="0.3">
      <c r="B68" s="81">
        <f>'PEDIDO WEPP'!C68</f>
        <v>2048</v>
      </c>
      <c r="C68" s="58" t="str">
        <f>IF(B68="","",VLOOKUP(B68,DATOS!$F$3:$H$139,3,FALSE))</f>
        <v>Rostlöser MOS2</v>
      </c>
      <c r="D68" s="35" t="str">
        <f>IF(B68="","",'PEDIDO WEPP'!D68)</f>
        <v>400 ml</v>
      </c>
      <c r="E68" s="36" t="str">
        <f>IF(B68="","",'PEDIDO WEPP'!E68)</f>
        <v>unidad</v>
      </c>
      <c r="F68" s="36" t="str">
        <f t="shared" si="2"/>
        <v>STÜCK</v>
      </c>
      <c r="G68" s="36">
        <f>IF(B68="","",'PEDIDO WEPP'!F68)</f>
        <v>4</v>
      </c>
      <c r="H68" s="36">
        <f>IF(B68="","",'PEDIDO WEPP'!H68)</f>
        <v>4</v>
      </c>
      <c r="I68" s="36">
        <f>IF(B68="","",'PEDIDO WEPP'!I68)</f>
        <v>2.35</v>
      </c>
      <c r="J68" s="64">
        <f>IF(B68="","",'PEDIDO WEPP'!J68)</f>
        <v>9.4</v>
      </c>
    </row>
    <row r="69" spans="2:10" s="30" customFormat="1" ht="15" customHeight="1" x14ac:dyDescent="0.3">
      <c r="B69" s="81">
        <f>'PEDIDO WEPP'!C69</f>
        <v>2053</v>
      </c>
      <c r="C69" s="58" t="str">
        <f>IF(B69="","",VLOOKUP(B69,DATOS!$F$3:$H$139,3,FALSE))</f>
        <v>Innenraumspray</v>
      </c>
      <c r="D69" s="35" t="str">
        <f>IF(B69="","",'PEDIDO WEPP'!D69)</f>
        <v>400 ml</v>
      </c>
      <c r="E69" s="36" t="str">
        <f>IF(B69="","",'PEDIDO WEPP'!E69)</f>
        <v>caja</v>
      </c>
      <c r="F69" s="36" t="str">
        <f t="shared" si="2"/>
        <v>KISTE</v>
      </c>
      <c r="G69" s="36">
        <f>IF(B69="","",'PEDIDO WEPP'!F69)</f>
        <v>1</v>
      </c>
      <c r="H69" s="36">
        <f>IF(B69="","",'PEDIDO WEPP'!H69)</f>
        <v>24</v>
      </c>
      <c r="I69" s="36">
        <f>IF(B69="","",'PEDIDO WEPP'!I69)</f>
        <v>3.5</v>
      </c>
      <c r="J69" s="64">
        <f>IF(B69="","",'PEDIDO WEPP'!J69)</f>
        <v>84</v>
      </c>
    </row>
    <row r="70" spans="2:10" s="30" customFormat="1" ht="15" customHeight="1" x14ac:dyDescent="0.3">
      <c r="B70" s="81">
        <f>'PEDIDO WEPP'!C70</f>
        <v>2054</v>
      </c>
      <c r="C70" s="58" t="str">
        <f>IF(B70="","",VLOOKUP(B70,DATOS!$F$3:$H$139,3,FALSE))</f>
        <v>Ölspray Mit PTFE</v>
      </c>
      <c r="D70" s="35" t="str">
        <f>IF(B70="","",'PEDIDO WEPP'!D70)</f>
        <v>400 ml</v>
      </c>
      <c r="E70" s="36" t="str">
        <f>IF(B70="","",'PEDIDO WEPP'!E70)</f>
        <v>unidad</v>
      </c>
      <c r="F70" s="36" t="str">
        <f t="shared" si="2"/>
        <v>STÜCK</v>
      </c>
      <c r="G70" s="36">
        <f>IF(B70="","",'PEDIDO WEPP'!F70)</f>
        <v>4</v>
      </c>
      <c r="H70" s="36">
        <f>IF(B70="","",'PEDIDO WEPP'!H70)</f>
        <v>4</v>
      </c>
      <c r="I70" s="36">
        <f>IF(B70="","",'PEDIDO WEPP'!I70)</f>
        <v>4.8</v>
      </c>
      <c r="J70" s="64">
        <f>IF(B70="","",'PEDIDO WEPP'!J70)</f>
        <v>19.2</v>
      </c>
    </row>
    <row r="71" spans="2:10" s="30" customFormat="1" ht="15" customHeight="1" x14ac:dyDescent="0.3">
      <c r="B71" s="81">
        <f>'PEDIDO WEPP'!C71</f>
        <v>2056</v>
      </c>
      <c r="C71" s="58" t="str">
        <f>IF(B71="","",VLOOKUP(B71,DATOS!$F$3:$H$139,3,FALSE))</f>
        <v>Fettspray Mit PTFE</v>
      </c>
      <c r="D71" s="35" t="str">
        <f>IF(B71="","",'PEDIDO WEPP'!D71)</f>
        <v>400 ml</v>
      </c>
      <c r="E71" s="36" t="str">
        <f>IF(B71="","",'PEDIDO WEPP'!E71)</f>
        <v>unidad</v>
      </c>
      <c r="F71" s="36" t="str">
        <f t="shared" si="2"/>
        <v>STÜCK</v>
      </c>
      <c r="G71" s="36">
        <f>IF(B71="","",'PEDIDO WEPP'!F71)</f>
        <v>4</v>
      </c>
      <c r="H71" s="36">
        <f>IF(B71="","",'PEDIDO WEPP'!H71)</f>
        <v>4</v>
      </c>
      <c r="I71" s="36">
        <f>IF(B71="","",'PEDIDO WEPP'!I71)</f>
        <v>4.8</v>
      </c>
      <c r="J71" s="64">
        <f>IF(B71="","",'PEDIDO WEPP'!J71)</f>
        <v>19.2</v>
      </c>
    </row>
    <row r="72" spans="2:10" s="30" customFormat="1" ht="15" customHeight="1" x14ac:dyDescent="0.3">
      <c r="B72" s="81">
        <f>'PEDIDO WEPP'!C72</f>
        <v>2059</v>
      </c>
      <c r="C72" s="58" t="str">
        <f>IF(B72="","",VLOOKUP(B72,DATOS!$F$3:$H$139,3,FALSE))</f>
        <v>Kupferspray</v>
      </c>
      <c r="D72" s="35" t="str">
        <f>IF(B72="","",'PEDIDO WEPP'!D72)</f>
        <v>400 ml</v>
      </c>
      <c r="E72" s="36" t="str">
        <f>IF(B72="","",'PEDIDO WEPP'!E72)</f>
        <v>unidad</v>
      </c>
      <c r="F72" s="36" t="str">
        <f t="shared" si="2"/>
        <v>STÜCK</v>
      </c>
      <c r="G72" s="36">
        <f>IF(B72="","",'PEDIDO WEPP'!F72)</f>
        <v>4</v>
      </c>
      <c r="H72" s="36">
        <f>IF(B72="","",'PEDIDO WEPP'!H72)</f>
        <v>4</v>
      </c>
      <c r="I72" s="36">
        <f>IF(B72="","",'PEDIDO WEPP'!I72)</f>
        <v>3.9</v>
      </c>
      <c r="J72" s="64">
        <f>IF(B72="","",'PEDIDO WEPP'!J72)</f>
        <v>15.6</v>
      </c>
    </row>
    <row r="73" spans="2:10" s="30" customFormat="1" ht="15" customHeight="1" x14ac:dyDescent="0.3">
      <c r="B73" s="81">
        <f>'PEDIDO WEPP'!C73</f>
        <v>2060</v>
      </c>
      <c r="C73" s="58" t="str">
        <f>IF(B73="","",VLOOKUP(B73,DATOS!$F$3:$H$139,3,FALSE))</f>
        <v>Bremsenreiniger Acetonfrei</v>
      </c>
      <c r="D73" s="35" t="str">
        <f>IF(B73="","",'PEDIDO WEPP'!D73)</f>
        <v>400 ml</v>
      </c>
      <c r="E73" s="36" t="str">
        <f>IF(B73="","",'PEDIDO WEPP'!E73)</f>
        <v>caja</v>
      </c>
      <c r="F73" s="36" t="str">
        <f t="shared" si="2"/>
        <v>KISTE</v>
      </c>
      <c r="G73" s="36">
        <f>IF(B73="","",'PEDIDO WEPP'!F73)</f>
        <v>1</v>
      </c>
      <c r="H73" s="36">
        <f>IF(B73="","",'PEDIDO WEPP'!H73)</f>
        <v>12</v>
      </c>
      <c r="I73" s="36">
        <f>IF(B73="","",'PEDIDO WEPP'!I73)</f>
        <v>1.9</v>
      </c>
      <c r="J73" s="64">
        <f>IF(B73="","",'PEDIDO WEPP'!J73)</f>
        <v>22.799999999999997</v>
      </c>
    </row>
    <row r="74" spans="2:10" s="30" customFormat="1" ht="15" customHeight="1" x14ac:dyDescent="0.3">
      <c r="B74" s="81">
        <f>'PEDIDO WEPP'!C74</f>
        <v>2117</v>
      </c>
      <c r="C74" s="58" t="str">
        <f>IF(B74="","",VLOOKUP(B74,DATOS!$F$3:$H$139,3,FALSE))</f>
        <v>Sicherheitsreiniger</v>
      </c>
      <c r="D74" s="35" t="str">
        <f>IF(B74="","",'PEDIDO WEPP'!D74)</f>
        <v>500 ml</v>
      </c>
      <c r="E74" s="36" t="str">
        <f>IF(B74="","",'PEDIDO WEPP'!E74)</f>
        <v>unidad</v>
      </c>
      <c r="F74" s="36" t="str">
        <f t="shared" si="2"/>
        <v>STÜCK</v>
      </c>
      <c r="G74" s="36">
        <f>IF(B74="","",'PEDIDO WEPP'!F74)</f>
        <v>4</v>
      </c>
      <c r="H74" s="36">
        <f>IF(B74="","",'PEDIDO WEPP'!H74)</f>
        <v>4</v>
      </c>
      <c r="I74" s="36">
        <f>IF(B74="","",'PEDIDO WEPP'!I74)</f>
        <v>0</v>
      </c>
      <c r="J74" s="64">
        <f>IF(B74="","",'PEDIDO WEPP'!J74)</f>
        <v>0</v>
      </c>
    </row>
    <row r="75" spans="2:10" s="30" customFormat="1" ht="15" customHeight="1" x14ac:dyDescent="0.3">
      <c r="B75" s="81">
        <f>'PEDIDO WEPP'!C75</f>
        <v>2061</v>
      </c>
      <c r="C75" s="58" t="str">
        <f>IF(B75="","",VLOOKUP(B75,DATOS!$F$3:$H$139,3,FALSE))</f>
        <v>Multi Komplex Reiniger (Scheiben)</v>
      </c>
      <c r="D75" s="35" t="str">
        <f>IF(B75="","",'PEDIDO WEPP'!D75)</f>
        <v>500 ml</v>
      </c>
      <c r="E75" s="36" t="str">
        <f>IF(B75="","",'PEDIDO WEPP'!E75)</f>
        <v>unidad</v>
      </c>
      <c r="F75" s="36" t="str">
        <f t="shared" si="2"/>
        <v>STÜCK</v>
      </c>
      <c r="G75" s="36">
        <f>IF(B75="","",'PEDIDO WEPP'!F75)</f>
        <v>4</v>
      </c>
      <c r="H75" s="36">
        <f>IF(B75="","",'PEDIDO WEPP'!H75)</f>
        <v>4</v>
      </c>
      <c r="I75" s="36">
        <f>IF(B75="","",'PEDIDO WEPP'!I75)</f>
        <v>3.2</v>
      </c>
      <c r="J75" s="64">
        <f>IF(B75="","",'PEDIDO WEPP'!J75)</f>
        <v>12.8</v>
      </c>
    </row>
    <row r="76" spans="2:10" s="30" customFormat="1" ht="15" customHeight="1" x14ac:dyDescent="0.3">
      <c r="B76" s="81">
        <f>'PEDIDO WEPP'!C76</f>
        <v>2070</v>
      </c>
      <c r="C76" s="58" t="str">
        <f>IF(B76="","",VLOOKUP(B76,DATOS!$F$3:$H$139,3,FALSE))</f>
        <v>Elektronik Reiniger Spray</v>
      </c>
      <c r="D76" s="35" t="str">
        <f>IF(B76="","",'PEDIDO WEPP'!D76)</f>
        <v>400 ml</v>
      </c>
      <c r="E76" s="36" t="str">
        <f>IF(B76="","",'PEDIDO WEPP'!E76)</f>
        <v>unidad</v>
      </c>
      <c r="F76" s="36" t="str">
        <f t="shared" si="2"/>
        <v>STÜCK</v>
      </c>
      <c r="G76" s="36">
        <f>IF(B76="","",'PEDIDO WEPP'!F76)</f>
        <v>4</v>
      </c>
      <c r="H76" s="36">
        <f>IF(B76="","",'PEDIDO WEPP'!H76)</f>
        <v>4</v>
      </c>
      <c r="I76" s="36">
        <f>IF(B76="","",'PEDIDO WEPP'!I76)</f>
        <v>3.45</v>
      </c>
      <c r="J76" s="64">
        <f>IF(B76="","",'PEDIDO WEPP'!J76)</f>
        <v>13.8</v>
      </c>
    </row>
    <row r="77" spans="2:10" s="30" customFormat="1" ht="15" customHeight="1" x14ac:dyDescent="0.3">
      <c r="B77" s="81">
        <f>'PEDIDO WEPP'!C77</f>
        <v>2071</v>
      </c>
      <c r="C77" s="58" t="str">
        <f>IF(B77="","",VLOOKUP(B77,DATOS!$F$3:$H$139,3,FALSE))</f>
        <v>Elektronik Spray</v>
      </c>
      <c r="D77" s="35" t="str">
        <f>IF(B77="","",'PEDIDO WEPP'!D77)</f>
        <v>400 ml</v>
      </c>
      <c r="E77" s="36" t="str">
        <f>IF(B77="","",'PEDIDO WEPP'!E77)</f>
        <v>unidad</v>
      </c>
      <c r="F77" s="36" t="str">
        <f t="shared" si="2"/>
        <v>STÜCK</v>
      </c>
      <c r="G77" s="36">
        <f>IF(B77="","",'PEDIDO WEPP'!F77)</f>
        <v>4</v>
      </c>
      <c r="H77" s="36">
        <f>IF(B77="","",'PEDIDO WEPP'!H77)</f>
        <v>4</v>
      </c>
      <c r="I77" s="36">
        <f>IF(B77="","",'PEDIDO WEPP'!I77)</f>
        <v>3.2</v>
      </c>
      <c r="J77" s="64">
        <f>IF(B77="","",'PEDIDO WEPP'!J77)</f>
        <v>12.8</v>
      </c>
    </row>
    <row r="78" spans="2:10" s="30" customFormat="1" ht="15" customHeight="1" x14ac:dyDescent="0.3">
      <c r="B78" s="81">
        <f>'PEDIDO WEPP'!C78</f>
        <v>2075</v>
      </c>
      <c r="C78" s="58" t="str">
        <f>IF(B78="","",VLOOKUP(B78,DATOS!$F$3:$H$139,3,FALSE))</f>
        <v>Motorstarter Spray</v>
      </c>
      <c r="D78" s="35" t="str">
        <f>IF(B78="","",'PEDIDO WEPP'!D78)</f>
        <v>400 ml</v>
      </c>
      <c r="E78" s="36" t="str">
        <f>IF(B78="","",'PEDIDO WEPP'!E78)</f>
        <v>unidad</v>
      </c>
      <c r="F78" s="36" t="str">
        <f t="shared" si="2"/>
        <v>STÜCK</v>
      </c>
      <c r="G78" s="36">
        <f>IF(B78="","",'PEDIDO WEPP'!F78)</f>
        <v>2</v>
      </c>
      <c r="H78" s="36">
        <f>IF(B78="","",'PEDIDO WEPP'!H78)</f>
        <v>2</v>
      </c>
      <c r="I78" s="36">
        <f>IF(B78="","",'PEDIDO WEPP'!I78)</f>
        <v>3.1</v>
      </c>
      <c r="J78" s="64">
        <f>IF(B78="","",'PEDIDO WEPP'!J78)</f>
        <v>6.2</v>
      </c>
    </row>
    <row r="79" spans="2:10" s="30" customFormat="1" ht="15" customHeight="1" x14ac:dyDescent="0.3">
      <c r="B79" s="81">
        <f>'PEDIDO WEPP'!C79</f>
        <v>2076</v>
      </c>
      <c r="C79" s="58" t="str">
        <f>IF(B79="","",VLOOKUP(B79,DATOS!$F$3:$H$139,3,FALSE))</f>
        <v>Batterieschutz Spray</v>
      </c>
      <c r="D79" s="35" t="str">
        <f>IF(B79="","",'PEDIDO WEPP'!D79)</f>
        <v>400 ml</v>
      </c>
      <c r="E79" s="36" t="str">
        <f>IF(B79="","",'PEDIDO WEPP'!E79)</f>
        <v>unidad</v>
      </c>
      <c r="F79" s="36" t="str">
        <f t="shared" si="2"/>
        <v>STÜCK</v>
      </c>
      <c r="G79" s="36">
        <f>IF(B79="","",'PEDIDO WEPP'!F79)</f>
        <v>4</v>
      </c>
      <c r="H79" s="36">
        <f>IF(B79="","",'PEDIDO WEPP'!H79)</f>
        <v>4</v>
      </c>
      <c r="I79" s="36">
        <f>IF(B79="","",'PEDIDO WEPP'!I79)</f>
        <v>3.2</v>
      </c>
      <c r="J79" s="64">
        <f>IF(B79="","",'PEDIDO WEPP'!J79)</f>
        <v>12.8</v>
      </c>
    </row>
    <row r="80" spans="2:10" s="30" customFormat="1" ht="15" customHeight="1" x14ac:dyDescent="0.3">
      <c r="B80" s="81">
        <f>'PEDIDO WEPP'!C80</f>
        <v>2094</v>
      </c>
      <c r="C80" s="58" t="str">
        <f>IF(B80="","",VLOOKUP(B80,DATOS!$F$3:$H$139,3,FALSE))</f>
        <v>Reifenglanz</v>
      </c>
      <c r="D80" s="35" t="str">
        <f>IF(B80="","",'PEDIDO WEPP'!D80)</f>
        <v>400 ml</v>
      </c>
      <c r="E80" s="36" t="str">
        <f>IF(B80="","",'PEDIDO WEPP'!E80)</f>
        <v>unidad</v>
      </c>
      <c r="F80" s="36" t="str">
        <f t="shared" si="2"/>
        <v>STÜCK</v>
      </c>
      <c r="G80" s="36">
        <f>IF(B80="","",'PEDIDO WEPP'!F80)</f>
        <v>4</v>
      </c>
      <c r="H80" s="36">
        <f>IF(B80="","",'PEDIDO WEPP'!H80)</f>
        <v>4</v>
      </c>
      <c r="I80" s="36">
        <f>IF(B80="","",'PEDIDO WEPP'!I80)</f>
        <v>3.5</v>
      </c>
      <c r="J80" s="64">
        <f>IF(B80="","",'PEDIDO WEPP'!J80)</f>
        <v>14</v>
      </c>
    </row>
    <row r="81" spans="2:10" s="30" customFormat="1" ht="15" customHeight="1" x14ac:dyDescent="0.3">
      <c r="B81" s="81">
        <f>'PEDIDO WEPP'!C81</f>
        <v>2194</v>
      </c>
      <c r="C81" s="58" t="str">
        <f>IF(B81="","",VLOOKUP(B81,DATOS!$F$3:$H$139,3,FALSE))</f>
        <v>Reifenmontage Spray</v>
      </c>
      <c r="D81" s="35" t="str">
        <f>IF(B81="","",'PEDIDO WEPP'!D81)</f>
        <v>500 ml</v>
      </c>
      <c r="E81" s="36" t="str">
        <f>IF(B81="","",'PEDIDO WEPP'!E81)</f>
        <v>unidad</v>
      </c>
      <c r="F81" s="36" t="str">
        <f t="shared" si="2"/>
        <v>STÜCK</v>
      </c>
      <c r="G81" s="36">
        <f>IF(B81="","",'PEDIDO WEPP'!F81)</f>
        <v>4</v>
      </c>
      <c r="H81" s="36">
        <f>IF(B81="","",'PEDIDO WEPP'!H81)</f>
        <v>4</v>
      </c>
      <c r="I81" s="36">
        <f>IF(B81="","",'PEDIDO WEPP'!I81)</f>
        <v>0</v>
      </c>
      <c r="J81" s="64">
        <f>IF(B81="","",'PEDIDO WEPP'!J81)</f>
        <v>0</v>
      </c>
    </row>
    <row r="82" spans="2:10" s="30" customFormat="1" ht="15" customHeight="1" x14ac:dyDescent="0.3">
      <c r="B82" s="81">
        <f>'PEDIDO WEPP'!C82</f>
        <v>2095</v>
      </c>
      <c r="C82" s="58" t="str">
        <f>IF(B82="","",VLOOKUP(B82,DATOS!$F$3:$H$139,3,FALSE))</f>
        <v>Schnell Dichtung (schwarz)</v>
      </c>
      <c r="D82" s="35" t="str">
        <f>IF(B82="","",'PEDIDO WEPP'!D82)</f>
        <v>200 ml</v>
      </c>
      <c r="E82" s="36" t="str">
        <f>IF(B82="","",'PEDIDO WEPP'!E82)</f>
        <v>unidad</v>
      </c>
      <c r="F82" s="36" t="str">
        <f t="shared" si="2"/>
        <v>STÜCK</v>
      </c>
      <c r="G82" s="36">
        <f>IF(B82="","",'PEDIDO WEPP'!F82)</f>
        <v>12</v>
      </c>
      <c r="H82" s="36">
        <f>IF(B82="","",'PEDIDO WEPP'!H82)</f>
        <v>12</v>
      </c>
      <c r="I82" s="36">
        <f>IF(B82="","",'PEDIDO WEPP'!I82)</f>
        <v>7.5</v>
      </c>
      <c r="J82" s="64">
        <f>IF(B82="","",'PEDIDO WEPP'!J82)</f>
        <v>90</v>
      </c>
    </row>
    <row r="83" spans="2:10" s="30" customFormat="1" ht="15" customHeight="1" x14ac:dyDescent="0.3">
      <c r="B83" s="81">
        <f>'PEDIDO WEPP'!C83</f>
        <v>2195</v>
      </c>
      <c r="C83" s="58" t="str">
        <f>IF(B83="","",VLOOKUP(B83,DATOS!$F$3:$H$139,3,FALSE))</f>
        <v>Schnell Dichtung (grau)</v>
      </c>
      <c r="D83" s="35" t="str">
        <f>IF(B83="","",'PEDIDO WEPP'!D83)</f>
        <v>200 ml</v>
      </c>
      <c r="E83" s="36" t="str">
        <f>IF(B83="","",'PEDIDO WEPP'!E83)</f>
        <v>unidad</v>
      </c>
      <c r="F83" s="36" t="str">
        <f t="shared" si="2"/>
        <v>STÜCK</v>
      </c>
      <c r="G83" s="36">
        <f>IF(B83="","",'PEDIDO WEPP'!F83)</f>
        <v>4</v>
      </c>
      <c r="H83" s="36">
        <f>IF(B83="","",'PEDIDO WEPP'!H83)</f>
        <v>4</v>
      </c>
      <c r="I83" s="36">
        <f>IF(B83="","",'PEDIDO WEPP'!I83)</f>
        <v>0</v>
      </c>
      <c r="J83" s="64">
        <f>IF(B83="","",'PEDIDO WEPP'!J83)</f>
        <v>0</v>
      </c>
    </row>
    <row r="84" spans="2:10" s="30" customFormat="1" ht="15" customHeight="1" x14ac:dyDescent="0.3">
      <c r="B84" s="81">
        <f>'PEDIDO WEPP'!C84</f>
        <v>2096</v>
      </c>
      <c r="C84" s="58" t="str">
        <f>IF(B84="","",VLOOKUP(B84,DATOS!$F$3:$H$139,3,FALSE))</f>
        <v>Lecksuch Spray (Luft)</v>
      </c>
      <c r="D84" s="35" t="str">
        <f>IF(B84="","",'PEDIDO WEPP'!D84)</f>
        <v>400 ml</v>
      </c>
      <c r="E84" s="36" t="str">
        <f>IF(B84="","",'PEDIDO WEPP'!E84)</f>
        <v>unidad</v>
      </c>
      <c r="F84" s="36" t="str">
        <f t="shared" si="2"/>
        <v>STÜCK</v>
      </c>
      <c r="G84" s="36">
        <f>IF(B84="","",'PEDIDO WEPP'!F84)</f>
        <v>2</v>
      </c>
      <c r="H84" s="36">
        <f>IF(B84="","",'PEDIDO WEPP'!H84)</f>
        <v>2</v>
      </c>
      <c r="I84" s="36">
        <f>IF(B84="","",'PEDIDO WEPP'!I84)</f>
        <v>3.5</v>
      </c>
      <c r="J84" s="64">
        <f>IF(B84="","",'PEDIDO WEPP'!J84)</f>
        <v>7</v>
      </c>
    </row>
    <row r="85" spans="2:10" s="30" customFormat="1" ht="15" customHeight="1" x14ac:dyDescent="0.3">
      <c r="B85" s="81">
        <f>'PEDIDO WEPP'!C85</f>
        <v>2083</v>
      </c>
      <c r="C85" s="58" t="str">
        <f>IF(B85="","",VLOOKUP(B85,DATOS!$F$3:$H$139,3,FALSE))</f>
        <v>Glas und Lack Reiniger</v>
      </c>
      <c r="D85" s="35" t="str">
        <f>IF(B85="","",'PEDIDO WEPP'!D85)</f>
        <v>1000 ml</v>
      </c>
      <c r="E85" s="36" t="str">
        <f>IF(B85="","",'PEDIDO WEPP'!E85)</f>
        <v>unidad</v>
      </c>
      <c r="F85" s="36" t="str">
        <f>IF(E85="CAJA","KISTE",IF(E85="unidad","STÜCK",""))</f>
        <v>STÜCK</v>
      </c>
      <c r="G85" s="36">
        <f>IF(B85="","",'PEDIDO WEPP'!F85)</f>
        <v>2</v>
      </c>
      <c r="H85" s="36">
        <f>IF(B85="","",'PEDIDO WEPP'!H85)</f>
        <v>2</v>
      </c>
      <c r="I85" s="36">
        <f>IF(B85="","",'PEDIDO WEPP'!I85)</f>
        <v>5.4</v>
      </c>
      <c r="J85" s="64">
        <f>IF(B85="","",'PEDIDO WEPP'!J85)</f>
        <v>10.8</v>
      </c>
    </row>
    <row r="86" spans="2:10" s="30" customFormat="1" ht="15" customHeight="1" x14ac:dyDescent="0.3">
      <c r="B86" s="81">
        <f>'PEDIDO WEPP'!C86</f>
        <v>2090</v>
      </c>
      <c r="C86" s="58" t="str">
        <f>IF(B86="","",VLOOKUP(B86,DATOS!$F$3:$H$139,3,FALSE))</f>
        <v>Metallschutz Spray</v>
      </c>
      <c r="D86" s="35" t="str">
        <f>IF(B86="","",'PEDIDO WEPP'!D86)</f>
        <v>400 ml</v>
      </c>
      <c r="E86" s="36" t="str">
        <f>IF(B86="","",'PEDIDO WEPP'!E86)</f>
        <v>unidad</v>
      </c>
      <c r="F86" s="36" t="str">
        <f t="shared" si="2"/>
        <v>STÜCK</v>
      </c>
      <c r="G86" s="36">
        <f>IF(B86="","",'PEDIDO WEPP'!F86)</f>
        <v>12</v>
      </c>
      <c r="H86" s="36">
        <f>IF(B86="","",'PEDIDO WEPP'!H86)</f>
        <v>12</v>
      </c>
      <c r="I86" s="36">
        <f>IF(B86="","",'PEDIDO WEPP'!I86)</f>
        <v>3.5</v>
      </c>
      <c r="J86" s="64">
        <f>IF(B86="","",'PEDIDO WEPP'!J86)</f>
        <v>42</v>
      </c>
    </row>
    <row r="87" spans="2:10" s="30" customFormat="1" ht="15" customHeight="1" x14ac:dyDescent="0.3">
      <c r="B87" s="81">
        <f>'PEDIDO WEPP'!C87</f>
        <v>2091</v>
      </c>
      <c r="C87" s="58" t="str">
        <f>IF(B87="","",VLOOKUP(B87,DATOS!$F$3:$H$139,3,FALSE))</f>
        <v>Unterbodenschutz (schwarz matt)</v>
      </c>
      <c r="D87" s="35" t="str">
        <f>IF(B87="","",'PEDIDO WEPP'!D87)</f>
        <v>500 ml</v>
      </c>
      <c r="E87" s="36" t="str">
        <f>IF(B87="","",'PEDIDO WEPP'!E87)</f>
        <v>unidad</v>
      </c>
      <c r="F87" s="36" t="str">
        <f t="shared" si="2"/>
        <v>STÜCK</v>
      </c>
      <c r="G87" s="36">
        <f>IF(B87="","",'PEDIDO WEPP'!F87)</f>
        <v>12</v>
      </c>
      <c r="H87" s="36">
        <f>IF(B87="","",'PEDIDO WEPP'!H87)</f>
        <v>12</v>
      </c>
      <c r="I87" s="36">
        <f>IF(B87="","",'PEDIDO WEPP'!I87)</f>
        <v>3.9</v>
      </c>
      <c r="J87" s="64">
        <f>IF(B87="","",'PEDIDO WEPP'!J87)</f>
        <v>46.8</v>
      </c>
    </row>
    <row r="88" spans="2:10" s="30" customFormat="1" ht="15" customHeight="1" x14ac:dyDescent="0.3">
      <c r="B88" s="81">
        <f>'PEDIDO WEPP'!C88</f>
        <v>2092</v>
      </c>
      <c r="C88" s="58" t="str">
        <f>IF(B88="","",VLOOKUP(B88,DATOS!$F$3:$H$139,3,FALSE))</f>
        <v>Hohlraumversiegelung</v>
      </c>
      <c r="D88" s="35" t="str">
        <f>IF(B88="","",'PEDIDO WEPP'!D88)</f>
        <v>500 ml</v>
      </c>
      <c r="E88" s="36" t="str">
        <f>IF(B88="","",'PEDIDO WEPP'!E88)</f>
        <v>unidad</v>
      </c>
      <c r="F88" s="36" t="str">
        <f t="shared" si="2"/>
        <v>STÜCK</v>
      </c>
      <c r="G88" s="36">
        <f>IF(B88="","",'PEDIDO WEPP'!F88)</f>
        <v>12</v>
      </c>
      <c r="H88" s="36">
        <f>IF(B88="","",'PEDIDO WEPP'!H88)</f>
        <v>12</v>
      </c>
      <c r="I88" s="36">
        <f>IF(B88="","",'PEDIDO WEPP'!I88)</f>
        <v>0</v>
      </c>
      <c r="J88" s="64">
        <f>IF(B88="","",'PEDIDO WEPP'!J88)</f>
        <v>0</v>
      </c>
    </row>
    <row r="89" spans="2:10" s="30" customFormat="1" ht="15" customHeight="1" x14ac:dyDescent="0.3">
      <c r="B89" s="81">
        <f>'PEDIDO WEPP'!C89</f>
        <v>2199</v>
      </c>
      <c r="C89" s="58" t="str">
        <f>IF(B89="","",VLOOKUP(B89,DATOS!$F$3:$H$139,3,FALSE))</f>
        <v>2 Komponenten Polyurethan Kleber</v>
      </c>
      <c r="D89" s="35" t="str">
        <f>IF(B89="","",'PEDIDO WEPP'!D89)</f>
        <v>50 ml</v>
      </c>
      <c r="E89" s="36" t="str">
        <f>IF(B89="","",'PEDIDO WEPP'!E89)</f>
        <v>unidad</v>
      </c>
      <c r="F89" s="36" t="str">
        <f t="shared" si="2"/>
        <v>STÜCK</v>
      </c>
      <c r="G89" s="36">
        <f>IF(B89="","",'PEDIDO WEPP'!F89)</f>
        <v>2</v>
      </c>
      <c r="H89" s="36">
        <f>IF(B89="","",'PEDIDO WEPP'!H89)</f>
        <v>2</v>
      </c>
      <c r="I89" s="36">
        <f>IF(B89="","",'PEDIDO WEPP'!I89)</f>
        <v>7.75</v>
      </c>
      <c r="J89" s="64">
        <f>IF(B89="","",'PEDIDO WEPP'!J89)</f>
        <v>15.5</v>
      </c>
    </row>
    <row r="90" spans="2:10" s="30" customFormat="1" ht="15" customHeight="1" x14ac:dyDescent="0.3">
      <c r="B90" s="81">
        <f>'PEDIDO WEPP'!C90</f>
        <v>2399</v>
      </c>
      <c r="C90" s="58" t="str">
        <f>IF(B90="","",VLOOKUP(B90,DATOS!$F$3:$H$139,3,FALSE))</f>
        <v>2 Komponenten Polyurethan Kleber</v>
      </c>
      <c r="D90" s="35" t="str">
        <f>IF(B90="","",'PEDIDO WEPP'!D90)</f>
        <v>50 ml</v>
      </c>
      <c r="E90" s="36" t="str">
        <f>IF(B90="","",'PEDIDO WEPP'!E90)</f>
        <v>unidad</v>
      </c>
      <c r="F90" s="36" t="str">
        <f t="shared" si="2"/>
        <v>STÜCK</v>
      </c>
      <c r="G90" s="36">
        <f>IF(B90="","",'PEDIDO WEPP'!F90)</f>
        <v>2</v>
      </c>
      <c r="H90" s="36">
        <f>IF(B90="","",'PEDIDO WEPP'!H90)</f>
        <v>2</v>
      </c>
      <c r="I90" s="36">
        <f>IF(B90="","",'PEDIDO WEPP'!I90)</f>
        <v>7.75</v>
      </c>
      <c r="J90" s="64">
        <f>IF(B90="","",'PEDIDO WEPP'!J90)</f>
        <v>15.5</v>
      </c>
    </row>
    <row r="91" spans="2:10" s="30" customFormat="1" ht="15" customHeight="1" x14ac:dyDescent="0.3">
      <c r="B91" s="81">
        <f>'PEDIDO WEPP'!C91</f>
        <v>2006</v>
      </c>
      <c r="C91" s="58" t="str">
        <f>IF(B91="","",VLOOKUP(B91,DATOS!$F$3:$H$139,3,FALSE))</f>
        <v>Desinfektions Pistole</v>
      </c>
      <c r="D91" s="35" t="str">
        <f>IF(B91="","",'PEDIDO WEPP'!D91)</f>
        <v>- ml</v>
      </c>
      <c r="E91" s="36" t="str">
        <f>IF(B91="","",'PEDIDO WEPP'!E91)</f>
        <v>unidad</v>
      </c>
      <c r="F91" s="36" t="str">
        <f t="shared" si="2"/>
        <v>STÜCK</v>
      </c>
      <c r="G91" s="36">
        <f>IF(B91="","",'PEDIDO WEPP'!F91)</f>
        <v>1</v>
      </c>
      <c r="H91" s="36">
        <f>IF(B91="","",'PEDIDO WEPP'!H91)</f>
        <v>1</v>
      </c>
      <c r="I91" s="36">
        <f>IF(B91="","",'PEDIDO WEPP'!I91)</f>
        <v>87.45</v>
      </c>
      <c r="J91" s="64">
        <f>IF(B91="","",'PEDIDO WEPP'!J91)</f>
        <v>87.45</v>
      </c>
    </row>
    <row r="92" spans="2:10" s="30" customFormat="1" ht="15" customHeight="1" thickBot="1" x14ac:dyDescent="0.35">
      <c r="B92" s="82" t="str">
        <f>'PEDIDO WEPP'!C92</f>
        <v>20648-08</v>
      </c>
      <c r="C92" s="83" t="str">
        <f>IF(B92="","",VLOOKUP(B92,DATOS!$F$3:$H$139,3,FALSE))</f>
        <v>Hand Schuhe 8</v>
      </c>
      <c r="D92" s="66" t="str">
        <f>IF(B92="","",'PEDIDO WEPP'!D92)</f>
        <v>- ml</v>
      </c>
      <c r="E92" s="67" t="str">
        <f>IF(B92="","",'PEDIDO WEPP'!E92)</f>
        <v>unidad</v>
      </c>
      <c r="F92" s="67" t="str">
        <f t="shared" si="2"/>
        <v>STÜCK</v>
      </c>
      <c r="G92" s="67">
        <f>IF(B92="","",'PEDIDO WEPP'!F92)</f>
        <v>12</v>
      </c>
      <c r="H92" s="67">
        <f>IF(B92="","",'PEDIDO WEPP'!H92)</f>
        <v>12</v>
      </c>
      <c r="I92" s="67">
        <f>IF(B92="","",'PEDIDO WEPP'!I92)</f>
        <v>0.95</v>
      </c>
      <c r="J92" s="68">
        <f>IF(B92="","",'PEDIDO WEPP'!J92)</f>
        <v>11.399999999999999</v>
      </c>
    </row>
    <row r="93" spans="2:10" s="30" customFormat="1" ht="19.95" customHeight="1" thickBot="1" x14ac:dyDescent="0.35">
      <c r="C93" s="37"/>
      <c r="D93" s="37"/>
      <c r="E93" s="38"/>
      <c r="F93" s="38"/>
      <c r="G93" s="39"/>
      <c r="H93" s="39"/>
      <c r="I93" s="39"/>
      <c r="J93" s="88">
        <f>SUM(J65:J92)</f>
        <v>766.85</v>
      </c>
    </row>
    <row r="94" spans="2:10" s="31" customFormat="1" ht="24.9" customHeight="1" thickBot="1" x14ac:dyDescent="0.35">
      <c r="B94" s="94" t="s">
        <v>247</v>
      </c>
      <c r="C94" s="111"/>
      <c r="D94" s="111"/>
      <c r="E94" s="111"/>
      <c r="F94" s="111"/>
      <c r="G94" s="111"/>
      <c r="H94" s="112"/>
      <c r="I94" s="75" t="s">
        <v>253</v>
      </c>
      <c r="J94" s="76" t="str">
        <f>'PEDIDO WEPP'!J94</f>
        <v>2025-0001</v>
      </c>
    </row>
    <row r="95" spans="2:10" s="33" customFormat="1" ht="15" customHeight="1" x14ac:dyDescent="0.3">
      <c r="B95" s="84" t="s">
        <v>261</v>
      </c>
      <c r="C95" s="85" t="s">
        <v>308</v>
      </c>
      <c r="D95" s="86" t="s">
        <v>250</v>
      </c>
      <c r="E95" s="86" t="s">
        <v>1</v>
      </c>
      <c r="F95" s="86"/>
      <c r="G95" s="86" t="s">
        <v>309</v>
      </c>
      <c r="H95" s="86" t="s">
        <v>2</v>
      </c>
      <c r="I95" s="86" t="s">
        <v>339</v>
      </c>
      <c r="J95" s="87" t="s">
        <v>273</v>
      </c>
    </row>
    <row r="96" spans="2:10" s="30" customFormat="1" ht="15" customHeight="1" x14ac:dyDescent="0.3">
      <c r="B96" s="81" t="str">
        <f>'PEDIDO WEPP'!C96</f>
        <v>20648-09</v>
      </c>
      <c r="C96" s="58" t="str">
        <f>IF(B96="","",VLOOKUP(B96,DATOS!$F$3:$H$139,3,FALSE))</f>
        <v>Hand Schuhe 9</v>
      </c>
      <c r="D96" s="35" t="str">
        <f>IF(B96="","",'PEDIDO WEPP'!D96)</f>
        <v>- ml</v>
      </c>
      <c r="E96" s="36" t="str">
        <f>IF(B96="","",'PEDIDO WEPP'!E96)</f>
        <v>unidad</v>
      </c>
      <c r="F96" s="36" t="str">
        <f>IF(E96="CAJA","KISTE",IF(E96="unidad","STÜCK",""))</f>
        <v>STÜCK</v>
      </c>
      <c r="G96" s="36">
        <f>IF(B96="","",'PEDIDO WEPP'!F96)</f>
        <v>12</v>
      </c>
      <c r="H96" s="36">
        <f>IF(B96="","",'PEDIDO WEPP'!H96)</f>
        <v>12</v>
      </c>
      <c r="I96" s="36">
        <f>IF(B96="","",'PEDIDO WEPP'!I96)</f>
        <v>0.95</v>
      </c>
      <c r="J96" s="64">
        <f>IF(B96="","",'PEDIDO WEPP'!J96)</f>
        <v>11.399999999999999</v>
      </c>
    </row>
    <row r="97" spans="2:10" s="30" customFormat="1" ht="15" customHeight="1" x14ac:dyDescent="0.3">
      <c r="B97" s="81" t="str">
        <f>'PEDIDO WEPP'!C97</f>
        <v>20648-10</v>
      </c>
      <c r="C97" s="58" t="str">
        <f>IF(B97="","",VLOOKUP(B97,DATOS!$F$3:$H$139,3,FALSE))</f>
        <v>Hand Schuhe 10</v>
      </c>
      <c r="D97" s="35" t="str">
        <f>IF(B97="","",'PEDIDO WEPP'!D97)</f>
        <v>- ml</v>
      </c>
      <c r="E97" s="36" t="str">
        <f>IF(B97="","",'PEDIDO WEPP'!E97)</f>
        <v>unidad</v>
      </c>
      <c r="F97" s="36" t="str">
        <f t="shared" ref="F97:F123" si="3">IF(E97="CAJA","KISTE",IF(E97="unidad","STÜCK",""))</f>
        <v>STÜCK</v>
      </c>
      <c r="G97" s="36">
        <f>IF(B97="","",'PEDIDO WEPP'!F97)</f>
        <v>12</v>
      </c>
      <c r="H97" s="36">
        <f>IF(B97="","",'PEDIDO WEPP'!H97)</f>
        <v>12</v>
      </c>
      <c r="I97" s="36">
        <f>IF(B97="","",'PEDIDO WEPP'!I97)</f>
        <v>0.95</v>
      </c>
      <c r="J97" s="64">
        <f>IF(B97="","",'PEDIDO WEPP'!J97)</f>
        <v>11.399999999999999</v>
      </c>
    </row>
    <row r="98" spans="2:10" s="30" customFormat="1" ht="15" customHeight="1" x14ac:dyDescent="0.3">
      <c r="B98" s="81" t="str">
        <f>'PEDIDO WEPP'!C98</f>
        <v/>
      </c>
      <c r="C98" s="58" t="str">
        <f>IF(B98="","",VLOOKUP(B98,DATOS!$F$3:$H$139,3,FALSE))</f>
        <v/>
      </c>
      <c r="D98" s="35" t="str">
        <f>IF(B98="","",'PEDIDO WEPP'!D98)</f>
        <v/>
      </c>
      <c r="E98" s="36" t="str">
        <f>IF(B98="","",'PEDIDO WEPP'!E98)</f>
        <v/>
      </c>
      <c r="F98" s="36" t="str">
        <f t="shared" si="3"/>
        <v/>
      </c>
      <c r="G98" s="36" t="str">
        <f>IF(B98="","",'PEDIDO WEPP'!F98)</f>
        <v/>
      </c>
      <c r="H98" s="36" t="str">
        <f>IF(B98="","",'PEDIDO WEPP'!H98)</f>
        <v/>
      </c>
      <c r="I98" s="36" t="str">
        <f>IF(B98="","",'PEDIDO WEPP'!I98)</f>
        <v/>
      </c>
      <c r="J98" s="64" t="str">
        <f>IF(B98="","",'PEDIDO WEPP'!J98)</f>
        <v/>
      </c>
    </row>
    <row r="99" spans="2:10" s="30" customFormat="1" ht="15" customHeight="1" x14ac:dyDescent="0.3">
      <c r="B99" s="81" t="str">
        <f>'PEDIDO WEPP'!C99</f>
        <v/>
      </c>
      <c r="C99" s="58" t="str">
        <f>IF(B99="","",VLOOKUP(B99,DATOS!$F$3:$H$139,3,FALSE))</f>
        <v/>
      </c>
      <c r="D99" s="35" t="str">
        <f>IF(B99="","",'PEDIDO WEPP'!D99)</f>
        <v/>
      </c>
      <c r="E99" s="36" t="str">
        <f>IF(B99="","",'PEDIDO WEPP'!E99)</f>
        <v/>
      </c>
      <c r="F99" s="36" t="str">
        <f t="shared" si="3"/>
        <v/>
      </c>
      <c r="G99" s="36" t="str">
        <f>IF(B99="","",'PEDIDO WEPP'!F99)</f>
        <v/>
      </c>
      <c r="H99" s="36" t="str">
        <f>IF(B99="","",'PEDIDO WEPP'!H99)</f>
        <v/>
      </c>
      <c r="I99" s="36" t="str">
        <f>IF(B99="","",'PEDIDO WEPP'!I99)</f>
        <v/>
      </c>
      <c r="J99" s="64" t="str">
        <f>IF(B99="","",'PEDIDO WEPP'!J99)</f>
        <v/>
      </c>
    </row>
    <row r="100" spans="2:10" s="30" customFormat="1" ht="15" customHeight="1" x14ac:dyDescent="0.3">
      <c r="B100" s="81" t="str">
        <f>'PEDIDO WEPP'!C100</f>
        <v/>
      </c>
      <c r="C100" s="58" t="str">
        <f>IF(B100="","",VLOOKUP(B100,DATOS!$F$3:$H$139,3,FALSE))</f>
        <v/>
      </c>
      <c r="D100" s="35" t="str">
        <f>IF(B100="","",'PEDIDO WEPP'!D100)</f>
        <v/>
      </c>
      <c r="E100" s="36" t="str">
        <f>IF(B100="","",'PEDIDO WEPP'!E100)</f>
        <v/>
      </c>
      <c r="F100" s="36" t="str">
        <f t="shared" si="3"/>
        <v/>
      </c>
      <c r="G100" s="36" t="str">
        <f>IF(B100="","",'PEDIDO WEPP'!F100)</f>
        <v/>
      </c>
      <c r="H100" s="36" t="str">
        <f>IF(B100="","",'PEDIDO WEPP'!H100)</f>
        <v/>
      </c>
      <c r="I100" s="36" t="str">
        <f>IF(B100="","",'PEDIDO WEPP'!I100)</f>
        <v/>
      </c>
      <c r="J100" s="64" t="str">
        <f>IF(B100="","",'PEDIDO WEPP'!J100)</f>
        <v/>
      </c>
    </row>
    <row r="101" spans="2:10" s="30" customFormat="1" ht="15" customHeight="1" x14ac:dyDescent="0.3">
      <c r="B101" s="81" t="str">
        <f>'PEDIDO WEPP'!C101</f>
        <v/>
      </c>
      <c r="C101" s="58" t="str">
        <f>IF(B101="","",VLOOKUP(B101,DATOS!$F$3:$H$139,3,FALSE))</f>
        <v/>
      </c>
      <c r="D101" s="35" t="str">
        <f>IF(B101="","",'PEDIDO WEPP'!D101)</f>
        <v/>
      </c>
      <c r="E101" s="36" t="str">
        <f>IF(B101="","",'PEDIDO WEPP'!E101)</f>
        <v/>
      </c>
      <c r="F101" s="36" t="str">
        <f t="shared" si="3"/>
        <v/>
      </c>
      <c r="G101" s="36" t="str">
        <f>IF(B101="","",'PEDIDO WEPP'!F101)</f>
        <v/>
      </c>
      <c r="H101" s="36" t="str">
        <f>IF(B101="","",'PEDIDO WEPP'!H101)</f>
        <v/>
      </c>
      <c r="I101" s="36" t="str">
        <f>IF(B101="","",'PEDIDO WEPP'!I101)</f>
        <v/>
      </c>
      <c r="J101" s="64" t="str">
        <f>IF(B101="","",'PEDIDO WEPP'!J101)</f>
        <v/>
      </c>
    </row>
    <row r="102" spans="2:10" s="30" customFormat="1" ht="15" customHeight="1" x14ac:dyDescent="0.3">
      <c r="B102" s="81" t="str">
        <f>'PEDIDO WEPP'!C102</f>
        <v/>
      </c>
      <c r="C102" s="58" t="str">
        <f>IF(B102="","",VLOOKUP(B102,DATOS!$F$3:$H$139,3,FALSE))</f>
        <v/>
      </c>
      <c r="D102" s="35" t="str">
        <f>IF(B102="","",'PEDIDO WEPP'!D102)</f>
        <v/>
      </c>
      <c r="E102" s="36" t="str">
        <f>IF(B102="","",'PEDIDO WEPP'!E102)</f>
        <v/>
      </c>
      <c r="F102" s="36" t="str">
        <f t="shared" si="3"/>
        <v/>
      </c>
      <c r="G102" s="36" t="str">
        <f>IF(B102="","",'PEDIDO WEPP'!F102)</f>
        <v/>
      </c>
      <c r="H102" s="36" t="str">
        <f>IF(B102="","",'PEDIDO WEPP'!H102)</f>
        <v/>
      </c>
      <c r="I102" s="36" t="str">
        <f>IF(B102="","",'PEDIDO WEPP'!I102)</f>
        <v/>
      </c>
      <c r="J102" s="64" t="str">
        <f>IF(B102="","",'PEDIDO WEPP'!J102)</f>
        <v/>
      </c>
    </row>
    <row r="103" spans="2:10" s="30" customFormat="1" ht="15" customHeight="1" x14ac:dyDescent="0.3">
      <c r="B103" s="81" t="str">
        <f>'PEDIDO WEPP'!C103</f>
        <v/>
      </c>
      <c r="C103" s="58" t="str">
        <f>IF(B103="","",VLOOKUP(B103,DATOS!$F$3:$H$139,3,FALSE))</f>
        <v/>
      </c>
      <c r="D103" s="35" t="str">
        <f>IF(B103="","",'PEDIDO WEPP'!D103)</f>
        <v/>
      </c>
      <c r="E103" s="36" t="str">
        <f>IF(B103="","",'PEDIDO WEPP'!E103)</f>
        <v/>
      </c>
      <c r="F103" s="36" t="str">
        <f t="shared" si="3"/>
        <v/>
      </c>
      <c r="G103" s="36" t="str">
        <f>IF(B103="","",'PEDIDO WEPP'!F103)</f>
        <v/>
      </c>
      <c r="H103" s="36" t="str">
        <f>IF(B103="","",'PEDIDO WEPP'!H103)</f>
        <v/>
      </c>
      <c r="I103" s="36" t="str">
        <f>IF(B103="","",'PEDIDO WEPP'!I103)</f>
        <v/>
      </c>
      <c r="J103" s="64" t="str">
        <f>IF(B103="","",'PEDIDO WEPP'!J103)</f>
        <v/>
      </c>
    </row>
    <row r="104" spans="2:10" s="30" customFormat="1" ht="15" customHeight="1" x14ac:dyDescent="0.3">
      <c r="B104" s="81" t="str">
        <f>'PEDIDO WEPP'!C104</f>
        <v/>
      </c>
      <c r="C104" s="58" t="str">
        <f>IF(B104="","",VLOOKUP(B104,DATOS!$F$3:$H$139,3,FALSE))</f>
        <v/>
      </c>
      <c r="D104" s="35" t="str">
        <f>IF(B104="","",'PEDIDO WEPP'!D104)</f>
        <v/>
      </c>
      <c r="E104" s="36" t="str">
        <f>IF(B104="","",'PEDIDO WEPP'!E104)</f>
        <v/>
      </c>
      <c r="F104" s="36" t="str">
        <f t="shared" si="3"/>
        <v/>
      </c>
      <c r="G104" s="36" t="str">
        <f>IF(B104="","",'PEDIDO WEPP'!F104)</f>
        <v/>
      </c>
      <c r="H104" s="36" t="str">
        <f>IF(B104="","",'PEDIDO WEPP'!H104)</f>
        <v/>
      </c>
      <c r="I104" s="36" t="str">
        <f>IF(B104="","",'PEDIDO WEPP'!I104)</f>
        <v/>
      </c>
      <c r="J104" s="64" t="str">
        <f>IF(B104="","",'PEDIDO WEPP'!J104)</f>
        <v/>
      </c>
    </row>
    <row r="105" spans="2:10" s="30" customFormat="1" ht="15" customHeight="1" x14ac:dyDescent="0.3">
      <c r="B105" s="81" t="str">
        <f>'PEDIDO WEPP'!C105</f>
        <v/>
      </c>
      <c r="C105" s="58" t="str">
        <f>IF(B105="","",VLOOKUP(B105,DATOS!$F$3:$H$139,3,FALSE))</f>
        <v/>
      </c>
      <c r="D105" s="35" t="str">
        <f>IF(B105="","",'PEDIDO WEPP'!D105)</f>
        <v/>
      </c>
      <c r="E105" s="36" t="str">
        <f>IF(B105="","",'PEDIDO WEPP'!E105)</f>
        <v/>
      </c>
      <c r="F105" s="36" t="str">
        <f t="shared" si="3"/>
        <v/>
      </c>
      <c r="G105" s="36" t="str">
        <f>IF(B105="","",'PEDIDO WEPP'!F105)</f>
        <v/>
      </c>
      <c r="H105" s="36" t="str">
        <f>IF(B105="","",'PEDIDO WEPP'!H105)</f>
        <v/>
      </c>
      <c r="I105" s="36" t="str">
        <f>IF(B105="","",'PEDIDO WEPP'!I105)</f>
        <v/>
      </c>
      <c r="J105" s="64" t="str">
        <f>IF(B105="","",'PEDIDO WEPP'!J105)</f>
        <v/>
      </c>
    </row>
    <row r="106" spans="2:10" s="30" customFormat="1" ht="15" customHeight="1" x14ac:dyDescent="0.3">
      <c r="B106" s="81" t="str">
        <f>'PEDIDO WEPP'!C106</f>
        <v/>
      </c>
      <c r="C106" s="58" t="str">
        <f>IF(B106="","",VLOOKUP(B106,DATOS!$F$3:$H$139,3,FALSE))</f>
        <v/>
      </c>
      <c r="D106" s="35" t="str">
        <f>IF(B106="","",'PEDIDO WEPP'!D106)</f>
        <v/>
      </c>
      <c r="E106" s="36" t="str">
        <f>IF(B106="","",'PEDIDO WEPP'!E106)</f>
        <v/>
      </c>
      <c r="F106" s="36" t="str">
        <f t="shared" si="3"/>
        <v/>
      </c>
      <c r="G106" s="36" t="str">
        <f>IF(B106="","",'PEDIDO WEPP'!F106)</f>
        <v/>
      </c>
      <c r="H106" s="36" t="str">
        <f>IF(B106="","",'PEDIDO WEPP'!H106)</f>
        <v/>
      </c>
      <c r="I106" s="36" t="str">
        <f>IF(B106="","",'PEDIDO WEPP'!I106)</f>
        <v/>
      </c>
      <c r="J106" s="64" t="str">
        <f>IF(B106="","",'PEDIDO WEPP'!J106)</f>
        <v/>
      </c>
    </row>
    <row r="107" spans="2:10" s="30" customFormat="1" ht="15" customHeight="1" x14ac:dyDescent="0.3">
      <c r="B107" s="81" t="str">
        <f>'PEDIDO WEPP'!C107</f>
        <v/>
      </c>
      <c r="C107" s="58" t="str">
        <f>IF(B107="","",VLOOKUP(B107,DATOS!$F$3:$H$139,3,FALSE))</f>
        <v/>
      </c>
      <c r="D107" s="35" t="str">
        <f>IF(B107="","",'PEDIDO WEPP'!D107)</f>
        <v/>
      </c>
      <c r="E107" s="36" t="str">
        <f>IF(B107="","",'PEDIDO WEPP'!E107)</f>
        <v/>
      </c>
      <c r="F107" s="36" t="str">
        <f t="shared" si="3"/>
        <v/>
      </c>
      <c r="G107" s="36" t="str">
        <f>IF(B107="","",'PEDIDO WEPP'!F107)</f>
        <v/>
      </c>
      <c r="H107" s="36" t="str">
        <f>IF(B107="","",'PEDIDO WEPP'!H107)</f>
        <v/>
      </c>
      <c r="I107" s="36" t="str">
        <f>IF(B107="","",'PEDIDO WEPP'!I107)</f>
        <v/>
      </c>
      <c r="J107" s="64" t="str">
        <f>IF(B107="","",'PEDIDO WEPP'!J107)</f>
        <v/>
      </c>
    </row>
    <row r="108" spans="2:10" s="30" customFormat="1" ht="15" customHeight="1" x14ac:dyDescent="0.3">
      <c r="B108" s="81" t="str">
        <f>'PEDIDO WEPP'!C108</f>
        <v/>
      </c>
      <c r="C108" s="58" t="str">
        <f>IF(B108="","",VLOOKUP(B108,DATOS!$F$3:$H$139,3,FALSE))</f>
        <v/>
      </c>
      <c r="D108" s="35" t="str">
        <f>IF(B108="","",'PEDIDO WEPP'!D108)</f>
        <v/>
      </c>
      <c r="E108" s="36" t="str">
        <f>IF(B108="","",'PEDIDO WEPP'!E108)</f>
        <v/>
      </c>
      <c r="F108" s="36" t="str">
        <f t="shared" si="3"/>
        <v/>
      </c>
      <c r="G108" s="36" t="str">
        <f>IF(B108="","",'PEDIDO WEPP'!F108)</f>
        <v/>
      </c>
      <c r="H108" s="36" t="str">
        <f>IF(B108="","",'PEDIDO WEPP'!H108)</f>
        <v/>
      </c>
      <c r="I108" s="36" t="str">
        <f>IF(B108="","",'PEDIDO WEPP'!I108)</f>
        <v/>
      </c>
      <c r="J108" s="64" t="str">
        <f>IF(B108="","",'PEDIDO WEPP'!J108)</f>
        <v/>
      </c>
    </row>
    <row r="109" spans="2:10" s="30" customFormat="1" ht="15" customHeight="1" x14ac:dyDescent="0.3">
      <c r="B109" s="81" t="str">
        <f>'PEDIDO WEPP'!C109</f>
        <v/>
      </c>
      <c r="C109" s="58" t="str">
        <f>IF(B109="","",VLOOKUP(B109,DATOS!$F$3:$H$139,3,FALSE))</f>
        <v/>
      </c>
      <c r="D109" s="35" t="str">
        <f>IF(B109="","",'PEDIDO WEPP'!D109)</f>
        <v/>
      </c>
      <c r="E109" s="36" t="str">
        <f>IF(B109="","",'PEDIDO WEPP'!E109)</f>
        <v/>
      </c>
      <c r="F109" s="36" t="str">
        <f t="shared" si="3"/>
        <v/>
      </c>
      <c r="G109" s="36" t="str">
        <f>IF(B109="","",'PEDIDO WEPP'!F109)</f>
        <v/>
      </c>
      <c r="H109" s="36" t="str">
        <f>IF(B109="","",'PEDIDO WEPP'!H109)</f>
        <v/>
      </c>
      <c r="I109" s="36" t="str">
        <f>IF(B109="","",'PEDIDO WEPP'!I109)</f>
        <v/>
      </c>
      <c r="J109" s="64" t="str">
        <f>IF(B109="","",'PEDIDO WEPP'!J109)</f>
        <v/>
      </c>
    </row>
    <row r="110" spans="2:10" s="30" customFormat="1" ht="15" customHeight="1" x14ac:dyDescent="0.3">
      <c r="B110" s="81" t="str">
        <f>'PEDIDO WEPP'!C110</f>
        <v/>
      </c>
      <c r="C110" s="58" t="str">
        <f>IF(B110="","",VLOOKUP(B110,DATOS!$F$3:$H$139,3,FALSE))</f>
        <v/>
      </c>
      <c r="D110" s="35" t="str">
        <f>IF(B110="","",'PEDIDO WEPP'!D110)</f>
        <v/>
      </c>
      <c r="E110" s="36" t="str">
        <f>IF(B110="","",'PEDIDO WEPP'!E110)</f>
        <v/>
      </c>
      <c r="F110" s="36" t="str">
        <f t="shared" si="3"/>
        <v/>
      </c>
      <c r="G110" s="36" t="str">
        <f>IF(B110="","",'PEDIDO WEPP'!F110)</f>
        <v/>
      </c>
      <c r="H110" s="36" t="str">
        <f>IF(B110="","",'PEDIDO WEPP'!H110)</f>
        <v/>
      </c>
      <c r="I110" s="36" t="str">
        <f>IF(B110="","",'PEDIDO WEPP'!I110)</f>
        <v/>
      </c>
      <c r="J110" s="64" t="str">
        <f>IF(B110="","",'PEDIDO WEPP'!J110)</f>
        <v/>
      </c>
    </row>
    <row r="111" spans="2:10" s="30" customFormat="1" ht="15" customHeight="1" x14ac:dyDescent="0.3">
      <c r="B111" s="81" t="str">
        <f>'PEDIDO WEPP'!C111</f>
        <v/>
      </c>
      <c r="C111" s="58" t="str">
        <f>IF(B111="","",VLOOKUP(B111,DATOS!$F$3:$H$139,3,FALSE))</f>
        <v/>
      </c>
      <c r="D111" s="35" t="str">
        <f>IF(B111="","",'PEDIDO WEPP'!D111)</f>
        <v/>
      </c>
      <c r="E111" s="36" t="str">
        <f>IF(B111="","",'PEDIDO WEPP'!E111)</f>
        <v/>
      </c>
      <c r="F111" s="36" t="str">
        <f t="shared" si="3"/>
        <v/>
      </c>
      <c r="G111" s="36" t="str">
        <f>IF(B111="","",'PEDIDO WEPP'!F111)</f>
        <v/>
      </c>
      <c r="H111" s="36" t="str">
        <f>IF(B111="","",'PEDIDO WEPP'!H111)</f>
        <v/>
      </c>
      <c r="I111" s="36" t="str">
        <f>IF(B111="","",'PEDIDO WEPP'!I111)</f>
        <v/>
      </c>
      <c r="J111" s="64" t="str">
        <f>IF(B111="","",'PEDIDO WEPP'!J111)</f>
        <v/>
      </c>
    </row>
    <row r="112" spans="2:10" s="30" customFormat="1" ht="15" customHeight="1" x14ac:dyDescent="0.3">
      <c r="B112" s="81" t="str">
        <f>'PEDIDO WEPP'!C112</f>
        <v/>
      </c>
      <c r="C112" s="58" t="str">
        <f>IF(B112="","",VLOOKUP(B112,DATOS!$F$3:$H$139,3,FALSE))</f>
        <v/>
      </c>
      <c r="D112" s="35" t="str">
        <f>IF(B112="","",'PEDIDO WEPP'!D112)</f>
        <v/>
      </c>
      <c r="E112" s="36" t="str">
        <f>IF(B112="","",'PEDIDO WEPP'!E112)</f>
        <v/>
      </c>
      <c r="F112" s="36" t="str">
        <f t="shared" si="3"/>
        <v/>
      </c>
      <c r="G112" s="36" t="str">
        <f>IF(B112="","",'PEDIDO WEPP'!F112)</f>
        <v/>
      </c>
      <c r="H112" s="36" t="str">
        <f>IF(B112="","",'PEDIDO WEPP'!H112)</f>
        <v/>
      </c>
      <c r="I112" s="36" t="str">
        <f>IF(B112="","",'PEDIDO WEPP'!I112)</f>
        <v/>
      </c>
      <c r="J112" s="64" t="str">
        <f>IF(B112="","",'PEDIDO WEPP'!J112)</f>
        <v/>
      </c>
    </row>
    <row r="113" spans="2:10" s="30" customFormat="1" ht="15" customHeight="1" x14ac:dyDescent="0.3">
      <c r="B113" s="81" t="str">
        <f>'PEDIDO WEPP'!C113</f>
        <v/>
      </c>
      <c r="C113" s="58" t="str">
        <f>IF(B113="","",VLOOKUP(B113,DATOS!$F$3:$H$139,3,FALSE))</f>
        <v/>
      </c>
      <c r="D113" s="35" t="str">
        <f>IF(B113="","",'PEDIDO WEPP'!D113)</f>
        <v/>
      </c>
      <c r="E113" s="36" t="str">
        <f>IF(B113="","",'PEDIDO WEPP'!E113)</f>
        <v/>
      </c>
      <c r="F113" s="36" t="str">
        <f t="shared" si="3"/>
        <v/>
      </c>
      <c r="G113" s="36" t="str">
        <f>IF(B113="","",'PEDIDO WEPP'!F113)</f>
        <v/>
      </c>
      <c r="H113" s="36" t="str">
        <f>IF(B113="","",'PEDIDO WEPP'!H113)</f>
        <v/>
      </c>
      <c r="I113" s="36" t="str">
        <f>IF(B113="","",'PEDIDO WEPP'!I113)</f>
        <v/>
      </c>
      <c r="J113" s="64" t="str">
        <f>IF(B113="","",'PEDIDO WEPP'!J113)</f>
        <v/>
      </c>
    </row>
    <row r="114" spans="2:10" s="30" customFormat="1" ht="15" customHeight="1" x14ac:dyDescent="0.3">
      <c r="B114" s="81" t="str">
        <f>'PEDIDO WEPP'!C114</f>
        <v/>
      </c>
      <c r="C114" s="58" t="str">
        <f>IF(B114="","",VLOOKUP(B114,DATOS!$F$3:$H$139,3,FALSE))</f>
        <v/>
      </c>
      <c r="D114" s="35" t="str">
        <f>IF(B114="","",'PEDIDO WEPP'!D114)</f>
        <v/>
      </c>
      <c r="E114" s="36" t="str">
        <f>IF(B114="","",'PEDIDO WEPP'!E114)</f>
        <v/>
      </c>
      <c r="F114" s="36" t="str">
        <f t="shared" si="3"/>
        <v/>
      </c>
      <c r="G114" s="36" t="str">
        <f>IF(B114="","",'PEDIDO WEPP'!F114)</f>
        <v/>
      </c>
      <c r="H114" s="36" t="str">
        <f>IF(B114="","",'PEDIDO WEPP'!H114)</f>
        <v/>
      </c>
      <c r="I114" s="36" t="str">
        <f>IF(B114="","",'PEDIDO WEPP'!I114)</f>
        <v/>
      </c>
      <c r="J114" s="64" t="str">
        <f>IF(B114="","",'PEDIDO WEPP'!J114)</f>
        <v/>
      </c>
    </row>
    <row r="115" spans="2:10" s="30" customFormat="1" ht="15" customHeight="1" x14ac:dyDescent="0.3">
      <c r="B115" s="81" t="str">
        <f>'PEDIDO WEPP'!C115</f>
        <v/>
      </c>
      <c r="C115" s="58" t="str">
        <f>IF(B115="","",VLOOKUP(B115,DATOS!$F$3:$H$139,3,FALSE))</f>
        <v/>
      </c>
      <c r="D115" s="35" t="str">
        <f>IF(B115="","",'PEDIDO WEPP'!D115)</f>
        <v/>
      </c>
      <c r="E115" s="36" t="str">
        <f>IF(B115="","",'PEDIDO WEPP'!E115)</f>
        <v/>
      </c>
      <c r="F115" s="36" t="str">
        <f t="shared" si="3"/>
        <v/>
      </c>
      <c r="G115" s="36" t="str">
        <f>IF(B115="","",'PEDIDO WEPP'!F115)</f>
        <v/>
      </c>
      <c r="H115" s="36" t="str">
        <f>IF(B115="","",'PEDIDO WEPP'!H115)</f>
        <v/>
      </c>
      <c r="I115" s="36" t="str">
        <f>IF(B115="","",'PEDIDO WEPP'!I115)</f>
        <v/>
      </c>
      <c r="J115" s="64" t="str">
        <f>IF(B115="","",'PEDIDO WEPP'!J115)</f>
        <v/>
      </c>
    </row>
    <row r="116" spans="2:10" s="30" customFormat="1" ht="15" customHeight="1" x14ac:dyDescent="0.3">
      <c r="B116" s="81" t="str">
        <f>'PEDIDO WEPP'!C116</f>
        <v/>
      </c>
      <c r="C116" s="58" t="str">
        <f>IF(B116="","",VLOOKUP(B116,DATOS!$F$3:$H$139,3,FALSE))</f>
        <v/>
      </c>
      <c r="D116" s="35" t="str">
        <f>IF(B116="","",'PEDIDO WEPP'!D116)</f>
        <v/>
      </c>
      <c r="E116" s="36" t="str">
        <f>IF(B116="","",'PEDIDO WEPP'!E116)</f>
        <v/>
      </c>
      <c r="F116" s="36" t="str">
        <f>IF(E116="CAJA","KISTE",IF(E116="unidad","STÜCK",""))</f>
        <v/>
      </c>
      <c r="G116" s="36" t="str">
        <f>IF(B116="","",'PEDIDO WEPP'!F116)</f>
        <v/>
      </c>
      <c r="H116" s="36" t="str">
        <f>IF(B116="","",'PEDIDO WEPP'!H116)</f>
        <v/>
      </c>
      <c r="I116" s="36" t="str">
        <f>IF(B116="","",'PEDIDO WEPP'!I116)</f>
        <v/>
      </c>
      <c r="J116" s="64" t="str">
        <f>IF(B116="","",'PEDIDO WEPP'!J116)</f>
        <v/>
      </c>
    </row>
    <row r="117" spans="2:10" s="30" customFormat="1" ht="15" customHeight="1" x14ac:dyDescent="0.3">
      <c r="B117" s="81" t="str">
        <f>'PEDIDO WEPP'!C117</f>
        <v/>
      </c>
      <c r="C117" s="58" t="str">
        <f>IF(B117="","",VLOOKUP(B117,DATOS!$F$3:$H$139,3,FALSE))</f>
        <v/>
      </c>
      <c r="D117" s="35" t="str">
        <f>IF(B117="","",'PEDIDO WEPP'!D117)</f>
        <v/>
      </c>
      <c r="E117" s="36" t="str">
        <f>IF(B117="","",'PEDIDO WEPP'!E117)</f>
        <v/>
      </c>
      <c r="F117" s="36" t="str">
        <f t="shared" si="3"/>
        <v/>
      </c>
      <c r="G117" s="36" t="str">
        <f>IF(B117="","",'PEDIDO WEPP'!F117)</f>
        <v/>
      </c>
      <c r="H117" s="36" t="str">
        <f>IF(B117="","",'PEDIDO WEPP'!H117)</f>
        <v/>
      </c>
      <c r="I117" s="36" t="str">
        <f>IF(B117="","",'PEDIDO WEPP'!I117)</f>
        <v/>
      </c>
      <c r="J117" s="64" t="str">
        <f>IF(B117="","",'PEDIDO WEPP'!J117)</f>
        <v/>
      </c>
    </row>
    <row r="118" spans="2:10" s="30" customFormat="1" ht="15" customHeight="1" x14ac:dyDescent="0.3">
      <c r="B118" s="81" t="str">
        <f>'PEDIDO WEPP'!C118</f>
        <v/>
      </c>
      <c r="C118" s="58" t="str">
        <f>IF(B118="","",VLOOKUP(B118,DATOS!$F$3:$H$139,3,FALSE))</f>
        <v/>
      </c>
      <c r="D118" s="35" t="str">
        <f>IF(B118="","",'PEDIDO WEPP'!D118)</f>
        <v/>
      </c>
      <c r="E118" s="36" t="str">
        <f>IF(B118="","",'PEDIDO WEPP'!E118)</f>
        <v/>
      </c>
      <c r="F118" s="36" t="str">
        <f t="shared" si="3"/>
        <v/>
      </c>
      <c r="G118" s="36" t="str">
        <f>IF(B118="","",'PEDIDO WEPP'!F118)</f>
        <v/>
      </c>
      <c r="H118" s="36" t="str">
        <f>IF(B118="","",'PEDIDO WEPP'!H118)</f>
        <v/>
      </c>
      <c r="I118" s="36" t="str">
        <f>IF(B118="","",'PEDIDO WEPP'!I118)</f>
        <v/>
      </c>
      <c r="J118" s="64" t="str">
        <f>IF(B118="","",'PEDIDO WEPP'!J118)</f>
        <v/>
      </c>
    </row>
    <row r="119" spans="2:10" s="30" customFormat="1" ht="15" customHeight="1" x14ac:dyDescent="0.3">
      <c r="B119" s="81" t="str">
        <f>'PEDIDO WEPP'!C119</f>
        <v/>
      </c>
      <c r="C119" s="58" t="str">
        <f>IF(B119="","",VLOOKUP(B119,DATOS!$F$3:$H$139,3,FALSE))</f>
        <v/>
      </c>
      <c r="D119" s="35" t="str">
        <f>IF(B119="","",'PEDIDO WEPP'!D119)</f>
        <v/>
      </c>
      <c r="E119" s="36" t="str">
        <f>IF(B119="","",'PEDIDO WEPP'!E119)</f>
        <v/>
      </c>
      <c r="F119" s="36" t="str">
        <f t="shared" si="3"/>
        <v/>
      </c>
      <c r="G119" s="36" t="str">
        <f>IF(B119="","",'PEDIDO WEPP'!F119)</f>
        <v/>
      </c>
      <c r="H119" s="36" t="str">
        <f>IF(B119="","",'PEDIDO WEPP'!H119)</f>
        <v/>
      </c>
      <c r="I119" s="36" t="str">
        <f>IF(B119="","",'PEDIDO WEPP'!I119)</f>
        <v/>
      </c>
      <c r="J119" s="64" t="str">
        <f>IF(B119="","",'PEDIDO WEPP'!J119)</f>
        <v/>
      </c>
    </row>
    <row r="120" spans="2:10" s="30" customFormat="1" ht="15" customHeight="1" x14ac:dyDescent="0.3">
      <c r="B120" s="81" t="str">
        <f>'PEDIDO WEPP'!C120</f>
        <v/>
      </c>
      <c r="C120" s="58" t="str">
        <f>IF(B120="","",VLOOKUP(B120,DATOS!$F$3:$H$139,3,FALSE))</f>
        <v/>
      </c>
      <c r="D120" s="35" t="str">
        <f>IF(B120="","",'PEDIDO WEPP'!D120)</f>
        <v/>
      </c>
      <c r="E120" s="36" t="str">
        <f>IF(B120="","",'PEDIDO WEPP'!E120)</f>
        <v/>
      </c>
      <c r="F120" s="36" t="str">
        <f t="shared" si="3"/>
        <v/>
      </c>
      <c r="G120" s="36" t="str">
        <f>IF(B120="","",'PEDIDO WEPP'!F120)</f>
        <v/>
      </c>
      <c r="H120" s="36" t="str">
        <f>IF(B120="","",'PEDIDO WEPP'!H120)</f>
        <v/>
      </c>
      <c r="I120" s="36" t="str">
        <f>IF(B120="","",'PEDIDO WEPP'!I120)</f>
        <v/>
      </c>
      <c r="J120" s="64" t="str">
        <f>IF(B120="","",'PEDIDO WEPP'!J120)</f>
        <v/>
      </c>
    </row>
    <row r="121" spans="2:10" s="30" customFormat="1" ht="15" customHeight="1" x14ac:dyDescent="0.3">
      <c r="B121" s="81" t="str">
        <f>'PEDIDO WEPP'!C121</f>
        <v/>
      </c>
      <c r="C121" s="58" t="str">
        <f>IF(B121="","",VLOOKUP(B121,DATOS!$F$3:$H$139,3,FALSE))</f>
        <v/>
      </c>
      <c r="D121" s="35" t="str">
        <f>IF(B121="","",'PEDIDO WEPP'!D121)</f>
        <v/>
      </c>
      <c r="E121" s="36" t="str">
        <f>IF(B121="","",'PEDIDO WEPP'!E121)</f>
        <v/>
      </c>
      <c r="F121" s="36" t="str">
        <f t="shared" si="3"/>
        <v/>
      </c>
      <c r="G121" s="36" t="str">
        <f>IF(B121="","",'PEDIDO WEPP'!F121)</f>
        <v/>
      </c>
      <c r="H121" s="36" t="str">
        <f>IF(B121="","",'PEDIDO WEPP'!H121)</f>
        <v/>
      </c>
      <c r="I121" s="36" t="str">
        <f>IF(B121="","",'PEDIDO WEPP'!I121)</f>
        <v/>
      </c>
      <c r="J121" s="64" t="str">
        <f>IF(B121="","",'PEDIDO WEPP'!J121)</f>
        <v/>
      </c>
    </row>
    <row r="122" spans="2:10" s="30" customFormat="1" ht="15" customHeight="1" x14ac:dyDescent="0.3">
      <c r="B122" s="81" t="str">
        <f>'PEDIDO WEPP'!C122</f>
        <v/>
      </c>
      <c r="C122" s="58" t="str">
        <f>IF(B122="","",VLOOKUP(B122,DATOS!$F$3:$H$139,3,FALSE))</f>
        <v/>
      </c>
      <c r="D122" s="35" t="str">
        <f>IF(B122="","",'PEDIDO WEPP'!D122)</f>
        <v/>
      </c>
      <c r="E122" s="36" t="str">
        <f>IF(B122="","",'PEDIDO WEPP'!E122)</f>
        <v/>
      </c>
      <c r="F122" s="36" t="str">
        <f t="shared" si="3"/>
        <v/>
      </c>
      <c r="G122" s="36" t="str">
        <f>IF(B122="","",'PEDIDO WEPP'!F122)</f>
        <v/>
      </c>
      <c r="H122" s="36" t="str">
        <f>IF(B122="","",'PEDIDO WEPP'!H122)</f>
        <v/>
      </c>
      <c r="I122" s="36" t="str">
        <f>IF(B122="","",'PEDIDO WEPP'!I122)</f>
        <v/>
      </c>
      <c r="J122" s="64" t="str">
        <f>IF(B122="","",'PEDIDO WEPP'!J122)</f>
        <v/>
      </c>
    </row>
    <row r="123" spans="2:10" s="30" customFormat="1" ht="15" customHeight="1" thickBot="1" x14ac:dyDescent="0.35">
      <c r="B123" s="82" t="str">
        <f>'PEDIDO WEPP'!C123</f>
        <v/>
      </c>
      <c r="C123" s="83" t="str">
        <f>IF(B123="","",VLOOKUP(B123,DATOS!$F$3:$H$139,3,FALSE))</f>
        <v/>
      </c>
      <c r="D123" s="66" t="str">
        <f>IF(B123="","",'PEDIDO WEPP'!D123)</f>
        <v/>
      </c>
      <c r="E123" s="67" t="str">
        <f>IF(B123="","",'PEDIDO WEPP'!E123)</f>
        <v/>
      </c>
      <c r="F123" s="67" t="str">
        <f t="shared" si="3"/>
        <v/>
      </c>
      <c r="G123" s="67" t="str">
        <f>IF(B123="","",'PEDIDO WEPP'!F123)</f>
        <v/>
      </c>
      <c r="H123" s="67" t="str">
        <f>IF(B123="","",'PEDIDO WEPP'!H123)</f>
        <v/>
      </c>
      <c r="I123" s="67" t="str">
        <f>IF(B123="","",'PEDIDO WEPP'!I123)</f>
        <v/>
      </c>
      <c r="J123" s="68" t="str">
        <f>IF(B123="","",'PEDIDO WEPP'!J123)</f>
        <v/>
      </c>
    </row>
    <row r="124" spans="2:10" s="30" customFormat="1" ht="19.95" customHeight="1" thickBot="1" x14ac:dyDescent="0.35">
      <c r="C124" s="37"/>
      <c r="D124" s="37"/>
      <c r="E124" s="38"/>
      <c r="F124" s="39"/>
      <c r="G124" s="39"/>
      <c r="H124" s="39"/>
      <c r="I124" s="39"/>
      <c r="J124" s="88">
        <f>SUM(J96:J123)+J93+J62+J30</f>
        <v>3550.2</v>
      </c>
    </row>
    <row r="128" spans="2:10" ht="15.6" x14ac:dyDescent="0.3">
      <c r="C128" s="2"/>
      <c r="D128" s="2"/>
      <c r="E128" s="6"/>
      <c r="F128" s="6"/>
      <c r="G128" s="6"/>
      <c r="H128" s="6"/>
      <c r="I128" s="6"/>
      <c r="J128" s="6"/>
    </row>
    <row r="140" spans="3:10" ht="15.6" x14ac:dyDescent="0.3">
      <c r="C140" s="2"/>
      <c r="D140" s="2"/>
      <c r="E140" s="6"/>
      <c r="F140" s="6"/>
      <c r="G140" s="6"/>
      <c r="H140" s="6"/>
      <c r="I140" s="6"/>
      <c r="J140" s="6"/>
    </row>
    <row r="142" spans="3:10" ht="19.8" x14ac:dyDescent="0.4">
      <c r="C142" s="3"/>
      <c r="D142" s="3"/>
      <c r="E142" s="9"/>
      <c r="F142" s="9"/>
      <c r="G142" s="9"/>
      <c r="H142" s="9"/>
      <c r="I142" s="9"/>
      <c r="J142" s="9"/>
    </row>
  </sheetData>
  <dataConsolidate/>
  <mergeCells count="17">
    <mergeCell ref="B1:J1"/>
    <mergeCell ref="B2:C2"/>
    <mergeCell ref="B3:C3"/>
    <mergeCell ref="B4:C4"/>
    <mergeCell ref="B5:C5"/>
    <mergeCell ref="B32:H32"/>
    <mergeCell ref="B63:H63"/>
    <mergeCell ref="B94:H94"/>
    <mergeCell ref="B8:H8"/>
    <mergeCell ref="D2:J2"/>
    <mergeCell ref="D3:J3"/>
    <mergeCell ref="D4:J4"/>
    <mergeCell ref="D5:J5"/>
    <mergeCell ref="D6:J6"/>
    <mergeCell ref="D7:J7"/>
    <mergeCell ref="B6:C6"/>
    <mergeCell ref="B7:C7"/>
  </mergeCells>
  <pageMargins left="0.25" right="0.25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51FF8F8-1569-4108-8CBC-5105A6066578}">
          <x14:formula1>
            <xm:f>DATOS!$F$3:$F$12</xm:f>
          </x14:formula1>
          <xm:sqref>C30:D31 C62:D62 C93:D93 C124:D124</xm:sqref>
        </x14:dataValidation>
        <x14:dataValidation type="list" allowBlank="1" showInputMessage="1" showErrorMessage="1" xr:uid="{F062C2B6-2207-4CC6-ACA7-A9444DDEA1FD}">
          <x14:formula1>
            <xm:f>DATOS!$F$27:$F$135</xm:f>
          </x14:formula1>
          <xm:sqref>E30:F31 E62:F62 E93:F93 E124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V129"/>
  <sheetViews>
    <sheetView zoomScale="85" zoomScaleNormal="85" workbookViewId="0">
      <selection activeCell="O25" sqref="O25"/>
    </sheetView>
  </sheetViews>
  <sheetFormatPr baseColWidth="10" defaultColWidth="8.88671875" defaultRowHeight="14.4" x14ac:dyDescent="0.3"/>
  <cols>
    <col min="1" max="1" width="19.109375" style="1" customWidth="1"/>
    <col min="2" max="2" width="32.6640625" style="11" customWidth="1"/>
    <col min="3" max="4" width="12.6640625" style="11" customWidth="1"/>
    <col min="5" max="6" width="12.6640625" style="4" customWidth="1"/>
    <col min="7" max="7" width="8.6640625" style="4" hidden="1" customWidth="1"/>
    <col min="8" max="9" width="12.6640625" style="4" customWidth="1"/>
    <col min="10" max="12" width="10.6640625" style="4" hidden="1" customWidth="1"/>
    <col min="13" max="13" width="13.6640625" style="4" customWidth="1"/>
    <col min="14" max="14" width="8.6640625" style="4" hidden="1" customWidth="1"/>
    <col min="15" max="15" width="12.6640625" style="4" customWidth="1"/>
    <col min="16" max="21" width="8.88671875" style="1"/>
    <col min="22" max="22" width="8.88671875" style="1" customWidth="1"/>
    <col min="23" max="16384" width="8.88671875" style="1"/>
  </cols>
  <sheetData>
    <row r="1" spans="1:22" ht="24.9" customHeight="1" x14ac:dyDescent="0.3">
      <c r="B1" s="129" t="s">
        <v>263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1"/>
    </row>
    <row r="2" spans="1:22" s="30" customFormat="1" ht="15" customHeight="1" x14ac:dyDescent="0.3">
      <c r="B2" s="29" t="s">
        <v>255</v>
      </c>
      <c r="C2" s="105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22" s="30" customFormat="1" ht="15" customHeight="1" x14ac:dyDescent="0.3">
      <c r="B3" s="29" t="s">
        <v>256</v>
      </c>
      <c r="C3" s="105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22" s="30" customFormat="1" ht="15" customHeight="1" x14ac:dyDescent="0.3">
      <c r="B4" s="29" t="s">
        <v>257</v>
      </c>
      <c r="C4" s="105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22" s="30" customFormat="1" ht="15" customHeight="1" x14ac:dyDescent="0.3">
      <c r="B5" s="29" t="s">
        <v>258</v>
      </c>
      <c r="C5" s="105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22" s="30" customFormat="1" ht="15" customHeight="1" x14ac:dyDescent="0.3">
      <c r="B6" s="29" t="s">
        <v>259</v>
      </c>
      <c r="C6" s="105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22" s="30" customFormat="1" ht="15" customHeight="1" x14ac:dyDescent="0.3">
      <c r="B7" s="29" t="s">
        <v>260</v>
      </c>
      <c r="C7" s="105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22" s="31" customFormat="1" ht="24.9" customHeight="1" x14ac:dyDescent="0.3">
      <c r="B8" s="123" t="s">
        <v>272</v>
      </c>
      <c r="C8" s="124"/>
      <c r="D8" s="124"/>
      <c r="E8" s="124"/>
      <c r="F8" s="124"/>
      <c r="G8" s="124"/>
      <c r="H8" s="125"/>
      <c r="I8" s="44" t="s">
        <v>253</v>
      </c>
      <c r="J8" s="45"/>
      <c r="K8" s="45"/>
      <c r="L8" s="45"/>
      <c r="M8" s="120" t="s">
        <v>254</v>
      </c>
      <c r="N8" s="121"/>
      <c r="O8" s="122"/>
    </row>
    <row r="9" spans="1:22" s="33" customFormat="1" ht="15" customHeight="1" x14ac:dyDescent="0.3">
      <c r="B9" s="27" t="s">
        <v>4</v>
      </c>
      <c r="C9" s="32" t="s">
        <v>261</v>
      </c>
      <c r="D9" s="32" t="s">
        <v>250</v>
      </c>
      <c r="E9" s="32" t="s">
        <v>1</v>
      </c>
      <c r="F9" s="32" t="s">
        <v>251</v>
      </c>
      <c r="G9" s="52" t="s">
        <v>279</v>
      </c>
      <c r="H9" s="32" t="s">
        <v>2</v>
      </c>
      <c r="I9" s="32" t="s">
        <v>262</v>
      </c>
      <c r="J9" s="52" t="s">
        <v>279</v>
      </c>
      <c r="K9" s="52" t="s">
        <v>279</v>
      </c>
      <c r="L9" s="52" t="s">
        <v>279</v>
      </c>
      <c r="M9" s="32" t="s">
        <v>0</v>
      </c>
      <c r="N9" s="52" t="s">
        <v>279</v>
      </c>
      <c r="O9" s="32" t="s">
        <v>280</v>
      </c>
      <c r="P9" s="55"/>
      <c r="Q9" s="55"/>
      <c r="R9" s="55"/>
      <c r="S9" s="55"/>
      <c r="T9" s="55"/>
      <c r="U9" s="55"/>
      <c r="V9" s="33" t="s">
        <v>8</v>
      </c>
    </row>
    <row r="10" spans="1:22" s="30" customFormat="1" ht="15" customHeight="1" x14ac:dyDescent="0.3">
      <c r="A10" s="92" t="s">
        <v>348</v>
      </c>
      <c r="B10" s="28" t="s">
        <v>168</v>
      </c>
      <c r="C10" s="34" t="str">
        <f>IF(B10="-","",VLOOKUP(B10,DATOS!$I$3:$K$200,2,FALSE))</f>
        <v>2010 SF</v>
      </c>
      <c r="D10" s="35" t="str">
        <f>IF(B10="-","",CONCATENATE(VLOOKUP(C10,DATOS!$J$3:$K$200,2,FALSE)," ml"))</f>
        <v>300 ml</v>
      </c>
      <c r="E10" s="35" t="s">
        <v>8</v>
      </c>
      <c r="F10" s="36">
        <v>12</v>
      </c>
      <c r="G10" s="53">
        <f>IF(B10="-","",IF(E10="caja",VLOOKUP(B10,DATOS!$I$3:$AC$137,21,FALSE),F10))</f>
        <v>12</v>
      </c>
      <c r="H10" s="36">
        <f>IF(B10="-","",IF(E10="caja",F10*G10,F10))</f>
        <v>12</v>
      </c>
      <c r="I10" s="36">
        <f>IF(B10="-","",VLOOKUP(B10,DATOS!$I$3:$S$138,11,FALSE))</f>
        <v>10.285</v>
      </c>
      <c r="J10" s="53">
        <f>IF(B10="-","",H10*I10)</f>
        <v>123.42</v>
      </c>
      <c r="K10" s="53">
        <f>VLOOKUP(B10,DATOS!$I$3:$AD$138,19,FALSE)</f>
        <v>8</v>
      </c>
      <c r="L10" s="53">
        <f>IF(E10="caja",VLOOKUP(B10,DATOS!$I$3:$AD$138,22,FALSE),VLOOKUP(B10,DATOS!$I$3:$AD$138,20,FALSE))</f>
        <v>5</v>
      </c>
      <c r="M10" s="29">
        <f>IF(B10="-","",IF(E10="caja",L10,IF(F10&gt;K10,L10,"0")))</f>
        <v>5</v>
      </c>
      <c r="N10" s="53">
        <f>IF(B10="-","",(100-M10)/100)</f>
        <v>0.95</v>
      </c>
      <c r="O10" s="36">
        <f>IF(B10="-","",J10*N10)</f>
        <v>117.249</v>
      </c>
      <c r="Q10" s="51">
        <f>I10*0.21*N10</f>
        <v>2.0518575000000001</v>
      </c>
      <c r="R10" s="51">
        <f>I10*N10+Q10</f>
        <v>11.8226075</v>
      </c>
      <c r="S10" s="51">
        <f>R10*H10</f>
        <v>141.87128999999999</v>
      </c>
      <c r="V10" s="30" t="s">
        <v>18</v>
      </c>
    </row>
    <row r="11" spans="1:22" s="30" customFormat="1" ht="15" customHeight="1" x14ac:dyDescent="0.3">
      <c r="A11" s="92" t="s">
        <v>342</v>
      </c>
      <c r="B11" s="28" t="s">
        <v>178</v>
      </c>
      <c r="C11" s="34">
        <f>IF(B11="-","",VLOOKUP(B11,DATOS!$I$3:$K$200,2,FALSE))</f>
        <v>2020</v>
      </c>
      <c r="D11" s="35" t="str">
        <f>IF(B11="-","",CONCATENATE(VLOOKUP(C11,DATOS!$J$3:$K$200,2,FALSE)," ml"))</f>
        <v>300 ml</v>
      </c>
      <c r="E11" s="35" t="s">
        <v>18</v>
      </c>
      <c r="F11" s="36">
        <v>1</v>
      </c>
      <c r="G11" s="53">
        <f>IF(B11="-","",IF(E11="caja",VLOOKUP(B11,DATOS!$I$3:$AC$137,21,FALSE),F11))</f>
        <v>24</v>
      </c>
      <c r="H11" s="36">
        <f t="shared" ref="H11:H24" si="0">IF(B11="-","",IF(E11="caja",F11*G11,F11))</f>
        <v>24</v>
      </c>
      <c r="I11" s="36">
        <f>IF(B11="-","",VLOOKUP(B11,DATOS!$I$3:$S$138,11,FALSE))</f>
        <v>8.4700000000000006</v>
      </c>
      <c r="J11" s="53">
        <f t="shared" ref="J11:J24" si="1">IF(B11="-","",H11*I11)</f>
        <v>203.28000000000003</v>
      </c>
      <c r="K11" s="53">
        <f>VLOOKUP(B11,DATOS!$I$3:$AD$138,19,FALSE)</f>
        <v>8</v>
      </c>
      <c r="L11" s="53">
        <f>IF(E11="caja",VLOOKUP(B11,DATOS!$I$3:$AD$138,22,FALSE),VLOOKUP(B11,DATOS!$I$3:$AD$138,20,FALSE))</f>
        <v>15</v>
      </c>
      <c r="M11" s="29">
        <f t="shared" ref="M11:M24" si="2">IF(B11="-","",IF(E11="caja",L11,IF(F11&gt;K11,L11,"0")))</f>
        <v>15</v>
      </c>
      <c r="N11" s="53">
        <f t="shared" ref="N11:N24" si="3">IF(B11="-","",(100-M11)/100)</f>
        <v>0.85</v>
      </c>
      <c r="O11" s="36">
        <f t="shared" ref="O11:O24" si="4">IF(B11="-","",J11*N11)</f>
        <v>172.78800000000001</v>
      </c>
      <c r="Q11" s="51">
        <f t="shared" ref="Q11:Q14" si="5">I11*0.21*N11</f>
        <v>1.5118950000000002</v>
      </c>
      <c r="R11" s="51">
        <f t="shared" ref="R11:R14" si="6">I11*N11+Q11</f>
        <v>8.7113950000000013</v>
      </c>
      <c r="S11" s="51">
        <f t="shared" ref="S11:S14" si="7">R11*H11</f>
        <v>209.07348000000002</v>
      </c>
    </row>
    <row r="12" spans="1:22" s="30" customFormat="1" ht="15" customHeight="1" x14ac:dyDescent="0.3">
      <c r="A12" s="92" t="s">
        <v>343</v>
      </c>
      <c r="B12" s="28" t="s">
        <v>183</v>
      </c>
      <c r="C12" s="34">
        <f>IF(B12="-","",VLOOKUP(B12,DATOS!$I$3:$K$200,2,FALSE))</f>
        <v>2125</v>
      </c>
      <c r="D12" s="35" t="str">
        <f>IF(B12="-","",CONCATENATE(VLOOKUP(C12,DATOS!$J$3:$K$200,2,FALSE)," ml"))</f>
        <v>100 ml</v>
      </c>
      <c r="E12" s="35" t="s">
        <v>18</v>
      </c>
      <c r="F12" s="36">
        <v>1</v>
      </c>
      <c r="G12" s="53">
        <f>IF(B12="-","",IF(E12="caja",VLOOKUP(B12,DATOS!$I$3:$AC$137,21,FALSE),F12))</f>
        <v>24</v>
      </c>
      <c r="H12" s="36">
        <f t="shared" si="0"/>
        <v>24</v>
      </c>
      <c r="I12" s="36">
        <f>IF(B12="-","",VLOOKUP(B12,DATOS!$I$3:$S$138,11,FALSE))</f>
        <v>10.175000000000001</v>
      </c>
      <c r="J12" s="53">
        <f t="shared" si="1"/>
        <v>244.20000000000002</v>
      </c>
      <c r="K12" s="53">
        <f>VLOOKUP(B12,DATOS!$I$3:$AD$138,19,FALSE)</f>
        <v>8</v>
      </c>
      <c r="L12" s="53">
        <f>IF(E12="caja",VLOOKUP(B12,DATOS!$I$3:$AD$138,22,FALSE),VLOOKUP(B12,DATOS!$I$3:$AD$138,20,FALSE))</f>
        <v>15</v>
      </c>
      <c r="M12" s="29">
        <f t="shared" si="2"/>
        <v>15</v>
      </c>
      <c r="N12" s="53">
        <f t="shared" si="3"/>
        <v>0.85</v>
      </c>
      <c r="O12" s="36">
        <f t="shared" si="4"/>
        <v>207.57000000000002</v>
      </c>
      <c r="Q12" s="51">
        <f t="shared" si="5"/>
        <v>1.8162375000000002</v>
      </c>
      <c r="R12" s="51">
        <f t="shared" si="6"/>
        <v>10.464987499999999</v>
      </c>
      <c r="S12" s="51">
        <f t="shared" si="7"/>
        <v>251.15969999999999</v>
      </c>
    </row>
    <row r="13" spans="1:22" s="30" customFormat="1" ht="15" customHeight="1" x14ac:dyDescent="0.3">
      <c r="A13" s="92" t="s">
        <v>349</v>
      </c>
      <c r="B13" s="28" t="s">
        <v>197</v>
      </c>
      <c r="C13" s="34">
        <f>IF(B13="-","",VLOOKUP(B13,DATOS!$I$3:$K$200,2,FALSE))</f>
        <v>2030</v>
      </c>
      <c r="D13" s="35" t="str">
        <f>IF(B13="-","",CONCATENATE(VLOOKUP(C13,DATOS!$J$3:$K$200,2,FALSE)," ml"))</f>
        <v>500 ml</v>
      </c>
      <c r="E13" s="35" t="s">
        <v>8</v>
      </c>
      <c r="F13" s="36">
        <v>3</v>
      </c>
      <c r="G13" s="53">
        <f>IF(B13="-","",IF(E13="caja",VLOOKUP(B13,DATOS!$I$3:$AC$137,21,FALSE),F13))</f>
        <v>3</v>
      </c>
      <c r="H13" s="36">
        <f t="shared" si="0"/>
        <v>3</v>
      </c>
      <c r="I13" s="36">
        <f>IF(B13="-","",VLOOKUP(B13,DATOS!$I$3:$S$138,11,FALSE))</f>
        <v>9.9550000000000018</v>
      </c>
      <c r="J13" s="53">
        <f t="shared" si="1"/>
        <v>29.865000000000006</v>
      </c>
      <c r="K13" s="53">
        <f>VLOOKUP(B13,DATOS!$I$3:$AD$138,19,FALSE)</f>
        <v>8</v>
      </c>
      <c r="L13" s="53">
        <f>IF(E13="caja",VLOOKUP(B13,DATOS!$I$3:$AD$138,22,FALSE),VLOOKUP(B13,DATOS!$I$3:$AD$138,20,FALSE))</f>
        <v>5</v>
      </c>
      <c r="M13" s="29" t="str">
        <f t="shared" si="2"/>
        <v>0</v>
      </c>
      <c r="N13" s="53">
        <f t="shared" si="3"/>
        <v>1</v>
      </c>
      <c r="O13" s="36">
        <f t="shared" si="4"/>
        <v>29.865000000000006</v>
      </c>
      <c r="Q13" s="51">
        <f t="shared" si="5"/>
        <v>2.0905500000000004</v>
      </c>
      <c r="R13" s="51">
        <f t="shared" si="6"/>
        <v>12.045550000000002</v>
      </c>
      <c r="S13" s="51">
        <f t="shared" si="7"/>
        <v>36.136650000000003</v>
      </c>
    </row>
    <row r="14" spans="1:22" s="30" customFormat="1" ht="15" customHeight="1" x14ac:dyDescent="0.3">
      <c r="A14" s="92" t="s">
        <v>344</v>
      </c>
      <c r="B14" s="28" t="s">
        <v>210</v>
      </c>
      <c r="C14" s="34">
        <f>IF(B14="-","",VLOOKUP(B14,DATOS!$I$3:$K$200,2,FALSE))</f>
        <v>255</v>
      </c>
      <c r="D14" s="35" t="str">
        <f>IF(B14="-","",CONCATENATE(VLOOKUP(C14,DATOS!$J$3:$K$200,2,FALSE)," ml"))</f>
        <v>400 ml</v>
      </c>
      <c r="E14" s="35" t="s">
        <v>8</v>
      </c>
      <c r="F14" s="36">
        <v>5</v>
      </c>
      <c r="G14" s="53">
        <f>IF(B14="-","",IF(E14="caja",VLOOKUP(B14,DATOS!$I$3:$AC$137,21,FALSE),F14))</f>
        <v>5</v>
      </c>
      <c r="H14" s="36">
        <f t="shared" si="0"/>
        <v>5</v>
      </c>
      <c r="I14" s="36">
        <f>IF(B14="-","",VLOOKUP(B14,DATOS!$I$3:$S$138,11,FALSE))</f>
        <v>11.66</v>
      </c>
      <c r="J14" s="53">
        <f t="shared" si="1"/>
        <v>58.3</v>
      </c>
      <c r="K14" s="53">
        <f>VLOOKUP(B14,DATOS!$I$3:$AD$138,19,FALSE)</f>
        <v>8</v>
      </c>
      <c r="L14" s="53">
        <f>IF(E14="caja",VLOOKUP(B14,DATOS!$I$3:$AD$138,22,FALSE),VLOOKUP(B14,DATOS!$I$3:$AD$138,20,FALSE))</f>
        <v>5</v>
      </c>
      <c r="M14" s="29" t="str">
        <f t="shared" si="2"/>
        <v>0</v>
      </c>
      <c r="N14" s="53">
        <f t="shared" si="3"/>
        <v>1</v>
      </c>
      <c r="O14" s="36">
        <f t="shared" si="4"/>
        <v>58.3</v>
      </c>
      <c r="Q14" s="51">
        <f t="shared" si="5"/>
        <v>2.4485999999999999</v>
      </c>
      <c r="R14" s="51">
        <f t="shared" si="6"/>
        <v>14.108599999999999</v>
      </c>
      <c r="S14" s="51">
        <f t="shared" si="7"/>
        <v>70.542999999999992</v>
      </c>
    </row>
    <row r="15" spans="1:22" s="30" customFormat="1" ht="15" customHeight="1" x14ac:dyDescent="0.3">
      <c r="A15" s="92" t="s">
        <v>350</v>
      </c>
      <c r="B15" s="28" t="s">
        <v>246</v>
      </c>
      <c r="C15" s="34" t="str">
        <f>IF(B15="-","",VLOOKUP(B15,DATOS!$I$3:$K$200,2,FALSE))</f>
        <v/>
      </c>
      <c r="D15" s="35" t="str">
        <f>IF(B15="-","",CONCATENATE(VLOOKUP(C15,DATOS!$J$3:$K$200,2,FALSE)," ml"))</f>
        <v/>
      </c>
      <c r="E15" s="35"/>
      <c r="F15" s="36"/>
      <c r="G15" s="53" t="str">
        <f>IF(B15="-","",IF(E15="caja",VLOOKUP(B15,DATOS!$I$3:$AC$137,21,FALSE),F15))</f>
        <v/>
      </c>
      <c r="H15" s="36" t="str">
        <f t="shared" si="0"/>
        <v/>
      </c>
      <c r="I15" s="36" t="str">
        <f>IF(B15="-","",VLOOKUP(B15,DATOS!$I$3:$S$138,11,FALSE))</f>
        <v/>
      </c>
      <c r="J15" s="53" t="str">
        <f t="shared" si="1"/>
        <v/>
      </c>
      <c r="K15" s="53">
        <f>VLOOKUP(B15,DATOS!$I$3:$AD$138,19,FALSE)</f>
        <v>0</v>
      </c>
      <c r="L15" s="53">
        <f>IF(E15="caja",VLOOKUP(B15,DATOS!$I$3:$AD$138,22,FALSE),VLOOKUP(B15,DATOS!$I$3:$AD$138,20,FALSE))</f>
        <v>5</v>
      </c>
      <c r="M15" s="29" t="str">
        <f t="shared" si="2"/>
        <v/>
      </c>
      <c r="N15" s="53" t="str">
        <f t="shared" si="3"/>
        <v/>
      </c>
      <c r="O15" s="36" t="str">
        <f t="shared" si="4"/>
        <v/>
      </c>
      <c r="Q15" s="51"/>
      <c r="R15" s="51"/>
    </row>
    <row r="16" spans="1:22" s="30" customFormat="1" ht="15" customHeight="1" x14ac:dyDescent="0.3">
      <c r="A16" s="92" t="s">
        <v>347</v>
      </c>
      <c r="B16" s="28" t="s">
        <v>246</v>
      </c>
      <c r="C16" s="34" t="str">
        <f>IF(B16="-","",VLOOKUP(B16,DATOS!$I$3:$K$200,2,FALSE))</f>
        <v/>
      </c>
      <c r="D16" s="35" t="str">
        <f>IF(B16="-","",CONCATENATE(VLOOKUP(C16,DATOS!$J$3:$K$200,2,FALSE)," ml"))</f>
        <v/>
      </c>
      <c r="E16" s="35"/>
      <c r="F16" s="36"/>
      <c r="G16" s="53" t="str">
        <f>IF(B16="-","",IF(E16="caja",VLOOKUP(B16,DATOS!$I$3:$AC$137,21,FALSE),F16))</f>
        <v/>
      </c>
      <c r="H16" s="36" t="str">
        <f t="shared" ref="H16:H23" si="8">IF(B16="-","",IF(E16="caja",F16*G16,F16))</f>
        <v/>
      </c>
      <c r="I16" s="36" t="str">
        <f>IF(B16="-","",VLOOKUP(B16,DATOS!$I$3:$S$138,11,FALSE))</f>
        <v/>
      </c>
      <c r="J16" s="53" t="str">
        <f t="shared" ref="J16:J23" si="9">IF(B16="-","",H16*I16)</f>
        <v/>
      </c>
      <c r="K16" s="53">
        <f>VLOOKUP(B16,DATOS!$I$3:$AD$138,19,FALSE)</f>
        <v>0</v>
      </c>
      <c r="L16" s="53">
        <f>IF(E16="caja",VLOOKUP(B16,DATOS!$I$3:$AD$138,22,FALSE),VLOOKUP(B16,DATOS!$I$3:$AD$138,20,FALSE))</f>
        <v>5</v>
      </c>
      <c r="M16" s="29" t="str">
        <f t="shared" ref="M16:M23" si="10">IF(B16="-","",IF(E16="caja",L16,IF(F16&gt;K16,L16,"0")))</f>
        <v/>
      </c>
      <c r="N16" s="53" t="str">
        <f t="shared" ref="N16:N23" si="11">IF(B16="-","",(100-M16)/100)</f>
        <v/>
      </c>
      <c r="O16" s="36" t="str">
        <f t="shared" ref="O16:O23" si="12">IF(B16="-","",J16*N16)</f>
        <v/>
      </c>
      <c r="Q16" s="51"/>
      <c r="R16" s="51"/>
    </row>
    <row r="17" spans="1:19" s="30" customFormat="1" ht="15" customHeight="1" x14ac:dyDescent="0.3">
      <c r="A17" s="92" t="s">
        <v>342</v>
      </c>
      <c r="B17" s="28" t="s">
        <v>246</v>
      </c>
      <c r="C17" s="34" t="str">
        <f>IF(B17="-","",VLOOKUP(B17,DATOS!$I$3:$K$200,2,FALSE))</f>
        <v/>
      </c>
      <c r="D17" s="35" t="str">
        <f>IF(B17="-","",CONCATENATE(VLOOKUP(C17,DATOS!$J$3:$K$200,2,FALSE)," ml"))</f>
        <v/>
      </c>
      <c r="E17" s="35"/>
      <c r="F17" s="36"/>
      <c r="G17" s="53" t="str">
        <f>IF(B17="-","",IF(E17="caja",VLOOKUP(B17,DATOS!$I$3:$AC$137,21,FALSE),F17))</f>
        <v/>
      </c>
      <c r="H17" s="36" t="str">
        <f t="shared" si="8"/>
        <v/>
      </c>
      <c r="I17" s="36" t="str">
        <f>IF(B17="-","",VLOOKUP(B17,DATOS!$I$3:$S$138,11,FALSE))</f>
        <v/>
      </c>
      <c r="J17" s="53" t="str">
        <f t="shared" si="9"/>
        <v/>
      </c>
      <c r="K17" s="53">
        <f>VLOOKUP(B17,DATOS!$I$3:$AD$138,19,FALSE)</f>
        <v>0</v>
      </c>
      <c r="L17" s="53">
        <f>IF(E17="caja",VLOOKUP(B17,DATOS!$I$3:$AD$138,22,FALSE),VLOOKUP(B17,DATOS!$I$3:$AD$138,20,FALSE))</f>
        <v>5</v>
      </c>
      <c r="M17" s="29" t="str">
        <f t="shared" si="10"/>
        <v/>
      </c>
      <c r="N17" s="53" t="str">
        <f t="shared" si="11"/>
        <v/>
      </c>
      <c r="O17" s="36" t="str">
        <f t="shared" si="12"/>
        <v/>
      </c>
      <c r="Q17" s="51"/>
      <c r="R17" s="51"/>
    </row>
    <row r="18" spans="1:19" s="30" customFormat="1" ht="15" customHeight="1" x14ac:dyDescent="0.3">
      <c r="A18" s="92" t="s">
        <v>343</v>
      </c>
      <c r="B18" s="28" t="s">
        <v>246</v>
      </c>
      <c r="C18" s="34" t="str">
        <f>IF(B18="-","",VLOOKUP(B18,DATOS!$I$3:$K$200,2,FALSE))</f>
        <v/>
      </c>
      <c r="D18" s="35" t="str">
        <f>IF(B18="-","",CONCATENATE(VLOOKUP(C18,DATOS!$J$3:$K$200,2,FALSE)," ml"))</f>
        <v/>
      </c>
      <c r="E18" s="35"/>
      <c r="F18" s="36"/>
      <c r="G18" s="53" t="str">
        <f>IF(B18="-","",IF(E18="caja",VLOOKUP(B18,DATOS!$I$3:$AC$137,21,FALSE),F18))</f>
        <v/>
      </c>
      <c r="H18" s="36" t="str">
        <f t="shared" si="8"/>
        <v/>
      </c>
      <c r="I18" s="36" t="str">
        <f>IF(B18="-","",VLOOKUP(B18,DATOS!$I$3:$S$138,11,FALSE))</f>
        <v/>
      </c>
      <c r="J18" s="53" t="str">
        <f t="shared" si="9"/>
        <v/>
      </c>
      <c r="K18" s="53">
        <f>VLOOKUP(B18,DATOS!$I$3:$AD$138,19,FALSE)</f>
        <v>0</v>
      </c>
      <c r="L18" s="53">
        <f>IF(E18="caja",VLOOKUP(B18,DATOS!$I$3:$AD$138,22,FALSE),VLOOKUP(B18,DATOS!$I$3:$AD$138,20,FALSE))</f>
        <v>5</v>
      </c>
      <c r="M18" s="29" t="str">
        <f t="shared" si="10"/>
        <v/>
      </c>
      <c r="N18" s="53" t="str">
        <f t="shared" si="11"/>
        <v/>
      </c>
      <c r="O18" s="36" t="str">
        <f t="shared" si="12"/>
        <v/>
      </c>
      <c r="Q18" s="51"/>
      <c r="R18" s="51"/>
    </row>
    <row r="19" spans="1:19" s="30" customFormat="1" ht="15" customHeight="1" x14ac:dyDescent="0.3">
      <c r="A19" s="92" t="s">
        <v>348</v>
      </c>
      <c r="B19" s="28" t="s">
        <v>246</v>
      </c>
      <c r="C19" s="34" t="str">
        <f>IF(B19="-","",VLOOKUP(B19,DATOS!$I$3:$K$200,2,FALSE))</f>
        <v/>
      </c>
      <c r="D19" s="35" t="str">
        <f>IF(B19="-","",CONCATENATE(VLOOKUP(C19,DATOS!$J$3:$K$200,2,FALSE)," ml"))</f>
        <v/>
      </c>
      <c r="E19" s="35"/>
      <c r="F19" s="36"/>
      <c r="G19" s="53" t="str">
        <f>IF(B19="-","",IF(E19="caja",VLOOKUP(B19,DATOS!$I$3:$AC$137,21,FALSE),F19))</f>
        <v/>
      </c>
      <c r="H19" s="36" t="str">
        <f t="shared" si="8"/>
        <v/>
      </c>
      <c r="I19" s="36" t="str">
        <f>IF(B19="-","",VLOOKUP(B19,DATOS!$I$3:$S$138,11,FALSE))</f>
        <v/>
      </c>
      <c r="J19" s="53" t="str">
        <f t="shared" si="9"/>
        <v/>
      </c>
      <c r="K19" s="53">
        <f>VLOOKUP(B19,DATOS!$I$3:$AD$138,19,FALSE)</f>
        <v>0</v>
      </c>
      <c r="L19" s="53">
        <f>IF(E19="caja",VLOOKUP(B19,DATOS!$I$3:$AD$138,22,FALSE),VLOOKUP(B19,DATOS!$I$3:$AD$138,20,FALSE))</f>
        <v>5</v>
      </c>
      <c r="M19" s="29" t="str">
        <f t="shared" si="10"/>
        <v/>
      </c>
      <c r="N19" s="53" t="str">
        <f t="shared" si="11"/>
        <v/>
      </c>
      <c r="O19" s="36" t="str">
        <f t="shared" si="12"/>
        <v/>
      </c>
      <c r="Q19" s="51"/>
      <c r="R19" s="51"/>
    </row>
    <row r="20" spans="1:19" s="30" customFormat="1" ht="15" customHeight="1" x14ac:dyDescent="0.3">
      <c r="A20" s="92" t="s">
        <v>342</v>
      </c>
      <c r="B20" s="28" t="s">
        <v>246</v>
      </c>
      <c r="C20" s="34" t="str">
        <f>IF(B20="-","",VLOOKUP(B20,DATOS!$I$3:$K$200,2,FALSE))</f>
        <v/>
      </c>
      <c r="D20" s="35" t="str">
        <f>IF(B20="-","",CONCATENATE(VLOOKUP(C20,DATOS!$J$3:$K$200,2,FALSE)," ml"))</f>
        <v/>
      </c>
      <c r="E20" s="35"/>
      <c r="F20" s="36"/>
      <c r="G20" s="53" t="str">
        <f>IF(B20="-","",IF(E20="caja",VLOOKUP(B20,DATOS!$I$3:$AC$137,21,FALSE),F20))</f>
        <v/>
      </c>
      <c r="H20" s="36" t="str">
        <f t="shared" si="8"/>
        <v/>
      </c>
      <c r="I20" s="36" t="str">
        <f>IF(B20="-","",VLOOKUP(B20,DATOS!$I$3:$S$138,11,FALSE))</f>
        <v/>
      </c>
      <c r="J20" s="53" t="str">
        <f t="shared" si="9"/>
        <v/>
      </c>
      <c r="K20" s="53">
        <f>VLOOKUP(B20,DATOS!$I$3:$AD$138,19,FALSE)</f>
        <v>0</v>
      </c>
      <c r="L20" s="53">
        <f>IF(E20="caja",VLOOKUP(B20,DATOS!$I$3:$AD$138,22,FALSE),VLOOKUP(B20,DATOS!$I$3:$AD$138,20,FALSE))</f>
        <v>5</v>
      </c>
      <c r="M20" s="29" t="str">
        <f t="shared" si="10"/>
        <v/>
      </c>
      <c r="N20" s="53" t="str">
        <f t="shared" si="11"/>
        <v/>
      </c>
      <c r="O20" s="36" t="str">
        <f t="shared" si="12"/>
        <v/>
      </c>
      <c r="Q20" s="51"/>
      <c r="R20" s="51"/>
    </row>
    <row r="21" spans="1:19" s="30" customFormat="1" ht="15" customHeight="1" x14ac:dyDescent="0.3">
      <c r="A21" s="92" t="s">
        <v>343</v>
      </c>
      <c r="B21" s="28" t="s">
        <v>246</v>
      </c>
      <c r="C21" s="34" t="str">
        <f>IF(B21="-","",VLOOKUP(B21,DATOS!$I$3:$K$200,2,FALSE))</f>
        <v/>
      </c>
      <c r="D21" s="35" t="str">
        <f>IF(B21="-","",CONCATENATE(VLOOKUP(C21,DATOS!$J$3:$K$200,2,FALSE)," ml"))</f>
        <v/>
      </c>
      <c r="E21" s="35"/>
      <c r="F21" s="36"/>
      <c r="G21" s="53" t="str">
        <f>IF(B21="-","",IF(E21="caja",VLOOKUP(B21,DATOS!$I$3:$AC$137,21,FALSE),F21))</f>
        <v/>
      </c>
      <c r="H21" s="36" t="str">
        <f t="shared" si="8"/>
        <v/>
      </c>
      <c r="I21" s="36" t="str">
        <f>IF(B21="-","",VLOOKUP(B21,DATOS!$I$3:$S$138,11,FALSE))</f>
        <v/>
      </c>
      <c r="J21" s="53" t="str">
        <f t="shared" si="9"/>
        <v/>
      </c>
      <c r="K21" s="53">
        <f>VLOOKUP(B21,DATOS!$I$3:$AD$138,19,FALSE)</f>
        <v>0</v>
      </c>
      <c r="L21" s="53">
        <f>IF(E21="caja",VLOOKUP(B21,DATOS!$I$3:$AD$138,22,FALSE),VLOOKUP(B21,DATOS!$I$3:$AD$138,20,FALSE))</f>
        <v>5</v>
      </c>
      <c r="M21" s="29" t="str">
        <f t="shared" si="10"/>
        <v/>
      </c>
      <c r="N21" s="53" t="str">
        <f t="shared" si="11"/>
        <v/>
      </c>
      <c r="O21" s="36" t="str">
        <f t="shared" si="12"/>
        <v/>
      </c>
      <c r="Q21" s="51"/>
      <c r="R21" s="51"/>
    </row>
    <row r="22" spans="1:19" s="30" customFormat="1" ht="15" customHeight="1" x14ac:dyDescent="0.3">
      <c r="A22" s="92" t="s">
        <v>348</v>
      </c>
      <c r="B22" s="28" t="s">
        <v>246</v>
      </c>
      <c r="C22" s="34" t="str">
        <f>IF(B22="-","",VLOOKUP(B22,DATOS!$I$3:$K$200,2,FALSE))</f>
        <v/>
      </c>
      <c r="D22" s="35" t="str">
        <f>IF(B22="-","",CONCATENATE(VLOOKUP(C22,DATOS!$J$3:$K$200,2,FALSE)," ml"))</f>
        <v/>
      </c>
      <c r="E22" s="35"/>
      <c r="F22" s="36"/>
      <c r="G22" s="53" t="str">
        <f>IF(B22="-","",IF(E22="caja",VLOOKUP(B22,DATOS!$I$3:$AC$137,21,FALSE),F22))</f>
        <v/>
      </c>
      <c r="H22" s="36" t="str">
        <f t="shared" si="8"/>
        <v/>
      </c>
      <c r="I22" s="36" t="str">
        <f>IF(B22="-","",VLOOKUP(B22,DATOS!$I$3:$S$138,11,FALSE))</f>
        <v/>
      </c>
      <c r="J22" s="53" t="str">
        <f t="shared" si="9"/>
        <v/>
      </c>
      <c r="K22" s="53">
        <f>VLOOKUP(B22,DATOS!$I$3:$AD$138,19,FALSE)</f>
        <v>0</v>
      </c>
      <c r="L22" s="53">
        <f>IF(E22="caja",VLOOKUP(B22,DATOS!$I$3:$AD$138,22,FALSE),VLOOKUP(B22,DATOS!$I$3:$AD$138,20,FALSE))</f>
        <v>5</v>
      </c>
      <c r="M22" s="29" t="str">
        <f t="shared" si="10"/>
        <v/>
      </c>
      <c r="N22" s="53" t="str">
        <f t="shared" si="11"/>
        <v/>
      </c>
      <c r="O22" s="36" t="str">
        <f t="shared" si="12"/>
        <v/>
      </c>
      <c r="Q22" s="51"/>
      <c r="R22" s="51"/>
    </row>
    <row r="23" spans="1:19" s="30" customFormat="1" ht="15" customHeight="1" x14ac:dyDescent="0.3">
      <c r="A23" s="92" t="s">
        <v>342</v>
      </c>
      <c r="B23" s="28" t="s">
        <v>246</v>
      </c>
      <c r="C23" s="34" t="str">
        <f>IF(B23="-","",VLOOKUP(B23,DATOS!$I$3:$K$200,2,FALSE))</f>
        <v/>
      </c>
      <c r="D23" s="35" t="str">
        <f>IF(B23="-","",CONCATENATE(VLOOKUP(C23,DATOS!$J$3:$K$200,2,FALSE)," ml"))</f>
        <v/>
      </c>
      <c r="E23" s="35"/>
      <c r="F23" s="36"/>
      <c r="G23" s="53" t="str">
        <f>IF(B23="-","",IF(E23="caja",VLOOKUP(B23,DATOS!$I$3:$AC$137,21,FALSE),F23))</f>
        <v/>
      </c>
      <c r="H23" s="36" t="str">
        <f t="shared" si="8"/>
        <v/>
      </c>
      <c r="I23" s="36" t="str">
        <f>IF(B23="-","",VLOOKUP(B23,DATOS!$I$3:$S$138,11,FALSE))</f>
        <v/>
      </c>
      <c r="J23" s="53" t="str">
        <f t="shared" si="9"/>
        <v/>
      </c>
      <c r="K23" s="53">
        <f>VLOOKUP(B23,DATOS!$I$3:$AD$138,19,FALSE)</f>
        <v>0</v>
      </c>
      <c r="L23" s="53">
        <f>IF(E23="caja",VLOOKUP(B23,DATOS!$I$3:$AD$138,22,FALSE),VLOOKUP(B23,DATOS!$I$3:$AD$138,20,FALSE))</f>
        <v>5</v>
      </c>
      <c r="M23" s="29" t="str">
        <f t="shared" si="10"/>
        <v/>
      </c>
      <c r="N23" s="53" t="str">
        <f t="shared" si="11"/>
        <v/>
      </c>
      <c r="O23" s="36" t="str">
        <f t="shared" si="12"/>
        <v/>
      </c>
      <c r="Q23" s="51"/>
      <c r="R23" s="51"/>
    </row>
    <row r="24" spans="1:19" s="30" customFormat="1" ht="15" customHeight="1" x14ac:dyDescent="0.3">
      <c r="A24" s="92" t="s">
        <v>343</v>
      </c>
      <c r="B24" s="28" t="s">
        <v>246</v>
      </c>
      <c r="C24" s="34" t="str">
        <f>IF(B24="-","",VLOOKUP(B24,DATOS!$I$3:$K$200,2,FALSE))</f>
        <v/>
      </c>
      <c r="D24" s="35" t="str">
        <f>IF(B24="-","",CONCATENATE(VLOOKUP(C24,DATOS!$J$3:$K$200,2,FALSE)," ml"))</f>
        <v/>
      </c>
      <c r="E24" s="35"/>
      <c r="F24" s="36"/>
      <c r="G24" s="53" t="str">
        <f>IF(B24="-","",IF(E24="caja",VLOOKUP(B24,DATOS!$I$3:$AC$137,21,FALSE),F24))</f>
        <v/>
      </c>
      <c r="H24" s="36" t="str">
        <f t="shared" si="0"/>
        <v/>
      </c>
      <c r="I24" s="36" t="str">
        <f>IF(B24="-","",VLOOKUP(B24,DATOS!$I$3:$S$138,11,FALSE))</f>
        <v/>
      </c>
      <c r="J24" s="53" t="str">
        <f t="shared" si="1"/>
        <v/>
      </c>
      <c r="K24" s="53">
        <f>VLOOKUP(B24,DATOS!$I$3:$AD$138,19,FALSE)</f>
        <v>0</v>
      </c>
      <c r="L24" s="53">
        <f>IF(E24="caja",VLOOKUP(B24,DATOS!$I$3:$AD$138,22,FALSE),VLOOKUP(B24,DATOS!$I$3:$AD$138,20,FALSE))</f>
        <v>5</v>
      </c>
      <c r="M24" s="29" t="str">
        <f t="shared" si="2"/>
        <v/>
      </c>
      <c r="N24" s="53" t="str">
        <f t="shared" si="3"/>
        <v/>
      </c>
      <c r="O24" s="36" t="str">
        <f t="shared" si="4"/>
        <v/>
      </c>
      <c r="Q24" s="51"/>
      <c r="R24" s="51"/>
    </row>
    <row r="25" spans="1:19" s="30" customFormat="1" ht="15" customHeight="1" x14ac:dyDescent="0.3">
      <c r="B25" s="37"/>
      <c r="C25" s="37"/>
      <c r="D25" s="37"/>
      <c r="E25" s="38"/>
      <c r="F25" s="39"/>
      <c r="G25" s="39"/>
      <c r="H25" s="39"/>
      <c r="I25" s="39"/>
      <c r="J25" s="39"/>
      <c r="K25" s="39"/>
      <c r="L25" s="39"/>
      <c r="M25" s="56" t="s">
        <v>281</v>
      </c>
      <c r="O25" s="36">
        <f>SUM(O10:O24)</f>
        <v>585.77200000000005</v>
      </c>
      <c r="Q25" s="36">
        <f>SUM(Q10:Q24)</f>
        <v>9.9191400000000023</v>
      </c>
      <c r="R25" s="36">
        <f>SUM(R10:R24)</f>
        <v>57.153139999999993</v>
      </c>
      <c r="S25" s="36">
        <f>SUM(S10:S24)</f>
        <v>708.78412000000003</v>
      </c>
    </row>
    <row r="26" spans="1:19" s="30" customFormat="1" ht="15" customHeight="1" x14ac:dyDescent="0.3">
      <c r="B26" s="37"/>
      <c r="C26" s="37"/>
      <c r="D26" s="37"/>
      <c r="E26" s="38"/>
      <c r="F26" s="39"/>
      <c r="G26" s="39"/>
      <c r="H26" s="39"/>
      <c r="I26" s="39"/>
      <c r="J26" s="39"/>
      <c r="K26" s="39"/>
      <c r="L26" s="39"/>
      <c r="M26" s="57" t="s">
        <v>282</v>
      </c>
      <c r="N26" s="54">
        <v>0.21</v>
      </c>
      <c r="O26" s="36">
        <f>O25*0.21</f>
        <v>123.01212000000001</v>
      </c>
    </row>
    <row r="27" spans="1:19" s="30" customFormat="1" ht="19.95" customHeight="1" x14ac:dyDescent="0.3">
      <c r="B27" s="37"/>
      <c r="C27" s="37"/>
      <c r="D27" s="37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40">
        <f>O25+O26</f>
        <v>708.78412000000003</v>
      </c>
    </row>
    <row r="28" spans="1:19" s="43" customFormat="1" ht="15" customHeight="1" x14ac:dyDescent="0.3">
      <c r="B28" s="41"/>
      <c r="C28" s="41"/>
      <c r="D28" s="41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</row>
    <row r="29" spans="1:19" x14ac:dyDescent="0.3">
      <c r="B29" s="10" t="s">
        <v>264</v>
      </c>
      <c r="C29" s="126" t="s">
        <v>267</v>
      </c>
      <c r="D29" s="128"/>
      <c r="E29" s="128"/>
      <c r="F29" s="128"/>
      <c r="G29" s="128"/>
      <c r="H29" s="128"/>
    </row>
    <row r="30" spans="1:19" x14ac:dyDescent="0.3">
      <c r="B30" s="10" t="s">
        <v>268</v>
      </c>
      <c r="C30" s="10"/>
      <c r="D30" s="13" t="s">
        <v>269</v>
      </c>
      <c r="E30"/>
      <c r="F30" s="46" t="s">
        <v>270</v>
      </c>
      <c r="G30"/>
      <c r="H30"/>
    </row>
    <row r="31" spans="1:19" x14ac:dyDescent="0.3">
      <c r="B31" s="10" t="s">
        <v>265</v>
      </c>
      <c r="C31" s="126" t="s">
        <v>266</v>
      </c>
      <c r="D31" s="127"/>
    </row>
    <row r="36" spans="2:15" ht="15.6" x14ac:dyDescent="0.3">
      <c r="B36" s="2"/>
      <c r="C36" s="2"/>
      <c r="D36" s="2"/>
      <c r="E36" s="6"/>
      <c r="F36" s="6"/>
      <c r="G36" s="6"/>
      <c r="H36" s="6"/>
      <c r="I36" s="7"/>
      <c r="J36" s="7"/>
      <c r="K36" s="7"/>
      <c r="L36" s="7"/>
      <c r="M36" s="6"/>
      <c r="N36" s="6"/>
      <c r="O36" s="6"/>
    </row>
    <row r="37" spans="2:15" x14ac:dyDescent="0.3">
      <c r="E37" s="8"/>
      <c r="F37" s="8"/>
      <c r="G37" s="8"/>
      <c r="H37" s="8"/>
      <c r="I37" s="5"/>
      <c r="J37" s="5"/>
      <c r="K37" s="5"/>
      <c r="L37" s="5"/>
      <c r="M37" s="8"/>
      <c r="N37" s="8"/>
      <c r="O37" s="5"/>
    </row>
    <row r="38" spans="2:15" x14ac:dyDescent="0.3">
      <c r="E38" s="8"/>
      <c r="F38" s="8"/>
      <c r="G38" s="8"/>
      <c r="H38" s="8"/>
      <c r="I38" s="5"/>
      <c r="J38" s="5"/>
      <c r="K38" s="5"/>
      <c r="L38" s="5"/>
      <c r="M38" s="8"/>
      <c r="N38" s="8"/>
      <c r="O38" s="5"/>
    </row>
    <row r="39" spans="2:15" x14ac:dyDescent="0.3">
      <c r="E39" s="8"/>
      <c r="F39" s="8"/>
      <c r="G39" s="8"/>
      <c r="H39" s="8"/>
      <c r="I39" s="5"/>
      <c r="J39" s="5"/>
      <c r="K39" s="5"/>
      <c r="L39" s="5"/>
      <c r="M39" s="8"/>
      <c r="N39" s="8"/>
      <c r="O39" s="5"/>
    </row>
    <row r="40" spans="2:15" x14ac:dyDescent="0.3">
      <c r="E40" s="8"/>
      <c r="F40" s="8"/>
      <c r="G40" s="8"/>
      <c r="H40" s="8"/>
      <c r="I40" s="5"/>
      <c r="J40" s="5"/>
      <c r="K40" s="5"/>
      <c r="L40" s="5"/>
      <c r="M40" s="8"/>
      <c r="N40" s="8"/>
      <c r="O40" s="5"/>
    </row>
    <row r="41" spans="2:15" x14ac:dyDescent="0.3">
      <c r="E41" s="8"/>
      <c r="F41" s="8"/>
      <c r="G41" s="8"/>
      <c r="H41" s="8"/>
      <c r="I41" s="5"/>
      <c r="J41" s="5"/>
      <c r="K41" s="5"/>
      <c r="L41" s="5"/>
      <c r="M41" s="8"/>
      <c r="N41" s="8"/>
      <c r="O41" s="5"/>
    </row>
    <row r="42" spans="2:15" x14ac:dyDescent="0.3">
      <c r="E42" s="8"/>
      <c r="F42" s="8"/>
      <c r="G42" s="8"/>
      <c r="H42" s="8"/>
      <c r="I42" s="5"/>
      <c r="J42" s="5"/>
      <c r="K42" s="5"/>
      <c r="L42" s="5"/>
      <c r="M42" s="8"/>
      <c r="N42" s="8"/>
      <c r="O42" s="5"/>
    </row>
    <row r="43" spans="2:15" x14ac:dyDescent="0.3">
      <c r="E43" s="8"/>
      <c r="F43" s="8"/>
      <c r="G43" s="8"/>
      <c r="H43" s="8"/>
      <c r="I43" s="5"/>
      <c r="J43" s="5"/>
      <c r="K43" s="5"/>
      <c r="L43" s="5"/>
      <c r="M43" s="8"/>
      <c r="N43" s="8"/>
      <c r="O43" s="5"/>
    </row>
    <row r="44" spans="2:15" x14ac:dyDescent="0.3">
      <c r="E44" s="8"/>
      <c r="F44" s="8"/>
      <c r="G44" s="8"/>
      <c r="H44" s="8"/>
      <c r="I44" s="5"/>
      <c r="J44" s="5"/>
      <c r="K44" s="5"/>
      <c r="L44" s="5"/>
      <c r="M44" s="8"/>
      <c r="N44" s="8"/>
      <c r="O44" s="5"/>
    </row>
    <row r="45" spans="2:15" x14ac:dyDescent="0.3">
      <c r="B45" s="10"/>
      <c r="C45" s="10"/>
      <c r="D45" s="10"/>
      <c r="E45" s="8"/>
      <c r="F45" s="8"/>
      <c r="G45" s="8"/>
      <c r="H45" s="8"/>
      <c r="I45" s="5"/>
      <c r="J45" s="5"/>
      <c r="K45" s="5"/>
      <c r="L45" s="5"/>
      <c r="M45" s="8"/>
      <c r="N45" s="8"/>
      <c r="O45" s="5"/>
    </row>
    <row r="47" spans="2:15" ht="15.6" x14ac:dyDescent="0.3">
      <c r="B47" s="2"/>
      <c r="C47" s="2"/>
      <c r="D47" s="2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15.6" x14ac:dyDescent="0.3">
      <c r="B48" s="2"/>
      <c r="C48" s="2"/>
      <c r="D48" s="2"/>
      <c r="I48" s="6"/>
      <c r="J48" s="6"/>
      <c r="K48" s="6"/>
      <c r="L48" s="6"/>
    </row>
    <row r="59" spans="2:15" ht="15.6" x14ac:dyDescent="0.3">
      <c r="B59" s="2"/>
      <c r="C59" s="2"/>
      <c r="D59" s="2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71" spans="2:15" ht="15.6" x14ac:dyDescent="0.3">
      <c r="B71" s="2"/>
      <c r="C71" s="2"/>
      <c r="D71" s="2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2:15" ht="15.6" x14ac:dyDescent="0.3">
      <c r="B72" s="2"/>
      <c r="C72" s="2"/>
      <c r="D72" s="2"/>
      <c r="I72" s="6"/>
      <c r="J72" s="6"/>
      <c r="K72" s="6"/>
      <c r="L72" s="6"/>
    </row>
    <row r="87" spans="2:15" ht="15.6" x14ac:dyDescent="0.3">
      <c r="B87" s="2"/>
      <c r="C87" s="2"/>
      <c r="D87" s="2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99" spans="2:15" ht="15.6" x14ac:dyDescent="0.3">
      <c r="B99" s="2"/>
      <c r="C99" s="2"/>
      <c r="D99" s="2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2:15" ht="15.6" x14ac:dyDescent="0.3">
      <c r="B100" s="2"/>
      <c r="C100" s="2"/>
      <c r="D100" s="2"/>
      <c r="I100" s="6"/>
      <c r="J100" s="6"/>
      <c r="K100" s="6"/>
      <c r="L100" s="6"/>
    </row>
    <row r="115" spans="2:15" ht="15.6" x14ac:dyDescent="0.3">
      <c r="B115" s="2"/>
      <c r="C115" s="2"/>
      <c r="D115" s="2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27" spans="2:15" ht="15.6" x14ac:dyDescent="0.3">
      <c r="B127" s="2"/>
      <c r="C127" s="2"/>
      <c r="D127" s="2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9" spans="2:15" ht="19.8" x14ac:dyDescent="0.4">
      <c r="B129" s="3"/>
      <c r="C129" s="3"/>
      <c r="D129" s="3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</row>
  </sheetData>
  <dataConsolidate/>
  <mergeCells count="11">
    <mergeCell ref="M8:O8"/>
    <mergeCell ref="B8:H8"/>
    <mergeCell ref="C31:D31"/>
    <mergeCell ref="C29:H29"/>
    <mergeCell ref="B1:O1"/>
    <mergeCell ref="C2:O2"/>
    <mergeCell ref="C3:O3"/>
    <mergeCell ref="C4:O4"/>
    <mergeCell ref="C5:O5"/>
    <mergeCell ref="C6:O6"/>
    <mergeCell ref="C7:O7"/>
  </mergeCells>
  <phoneticPr fontId="5" type="noConversion"/>
  <dataValidations disablePrompts="1" count="2">
    <dataValidation type="list" allowBlank="1" showInputMessage="1" showErrorMessage="1" sqref="E10:E24" xr:uid="{926CBA14-A842-42A4-A00D-B061184FAF4A}">
      <formula1>$V$9:$V$11</formula1>
    </dataValidation>
    <dataValidation type="list" allowBlank="1" showInputMessage="1" showErrorMessage="1" sqref="B10:B24" xr:uid="{D26B536B-634D-4293-98E0-2E19BD001BDB}">
      <formula1>INDIRECT(A10)</formula1>
    </dataValidation>
  </dataValidations>
  <hyperlinks>
    <hyperlink ref="F30" r:id="rId1" xr:uid="{ED53F347-407B-44B5-A352-9F06323E0176}"/>
  </hyperlinks>
  <pageMargins left="0.25" right="0.25" top="0.75" bottom="0.75" header="0.3" footer="0.3"/>
  <pageSetup paperSize="9" orientation="landscape" r:id="rId2"/>
  <ignoredErrors>
    <ignoredError sqref="M10:M24" unlockedFormula="1"/>
  </ignoredError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121D0EB7-AA7C-4990-8C80-F6723EE92F90}">
          <x14:formula1>
            <xm:f>DATOS!$F$3:$F$12</xm:f>
          </x14:formula1>
          <xm:sqref>B25:D26</xm:sqref>
        </x14:dataValidation>
        <x14:dataValidation type="list" allowBlank="1" showInputMessage="1" showErrorMessage="1" xr:uid="{5C53B908-5BE7-4DF9-BF0C-5A26BCD2118D}">
          <x14:formula1>
            <xm:f>familias!$G$2:$G$8</xm:f>
          </x14:formula1>
          <xm:sqref>A10:A24</xm:sqref>
        </x14:dataValidation>
        <x14:dataValidation type="list" allowBlank="1" showInputMessage="1" showErrorMessage="1" xr:uid="{AB510633-138A-4219-A6B0-599644F7570B}">
          <x14:formula1>
            <xm:f>DATOS!$F$27:$F$135</xm:f>
          </x14:formula1>
          <xm:sqref>E25:E26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FE7DA-1D9B-40D7-8BF2-0999663B76C7}">
  <sheetPr codeName="Hoja3"/>
  <dimension ref="A1:J129"/>
  <sheetViews>
    <sheetView zoomScale="85" zoomScaleNormal="85" workbookViewId="0">
      <selection activeCell="M18" sqref="M18"/>
    </sheetView>
  </sheetViews>
  <sheetFormatPr baseColWidth="10" defaultColWidth="8.88671875" defaultRowHeight="14.4" x14ac:dyDescent="0.3"/>
  <cols>
    <col min="1" max="1" width="32.6640625" style="11" customWidth="1"/>
    <col min="2" max="3" width="12.6640625" style="11" customWidth="1"/>
    <col min="4" max="7" width="12.6640625" style="4" customWidth="1"/>
    <col min="8" max="8" width="13.6640625" style="4" customWidth="1"/>
    <col min="9" max="9" width="12.6640625" style="4" customWidth="1"/>
    <col min="10" max="16384" width="8.88671875" style="1"/>
  </cols>
  <sheetData>
    <row r="1" spans="1:10" ht="24.9" customHeight="1" x14ac:dyDescent="0.3">
      <c r="A1" s="129" t="s">
        <v>263</v>
      </c>
      <c r="B1" s="130"/>
      <c r="C1" s="130"/>
      <c r="D1" s="130"/>
      <c r="E1" s="130"/>
      <c r="F1" s="130"/>
      <c r="G1" s="130"/>
      <c r="H1" s="130"/>
      <c r="I1" s="131"/>
    </row>
    <row r="2" spans="1:10" s="30" customFormat="1" ht="15" customHeight="1" x14ac:dyDescent="0.3">
      <c r="A2" s="29" t="s">
        <v>255</v>
      </c>
      <c r="B2" s="105"/>
      <c r="C2" s="106"/>
      <c r="D2" s="106"/>
      <c r="E2" s="106"/>
      <c r="F2" s="106"/>
      <c r="G2" s="106"/>
      <c r="H2" s="106"/>
      <c r="I2" s="106"/>
    </row>
    <row r="3" spans="1:10" s="30" customFormat="1" ht="15" customHeight="1" x14ac:dyDescent="0.3">
      <c r="A3" s="29" t="s">
        <v>256</v>
      </c>
      <c r="B3" s="105"/>
      <c r="C3" s="106"/>
      <c r="D3" s="106"/>
      <c r="E3" s="106"/>
      <c r="F3" s="106"/>
      <c r="G3" s="106"/>
      <c r="H3" s="106"/>
      <c r="I3" s="106"/>
    </row>
    <row r="4" spans="1:10" s="30" customFormat="1" ht="15" customHeight="1" x14ac:dyDescent="0.3">
      <c r="A4" s="29" t="s">
        <v>257</v>
      </c>
      <c r="B4" s="105"/>
      <c r="C4" s="106"/>
      <c r="D4" s="106"/>
      <c r="E4" s="106"/>
      <c r="F4" s="106"/>
      <c r="G4" s="106"/>
      <c r="H4" s="106"/>
      <c r="I4" s="106"/>
    </row>
    <row r="5" spans="1:10" s="30" customFormat="1" ht="15" customHeight="1" x14ac:dyDescent="0.3">
      <c r="A5" s="29" t="s">
        <v>258</v>
      </c>
      <c r="B5" s="105"/>
      <c r="C5" s="106"/>
      <c r="D5" s="106"/>
      <c r="E5" s="106"/>
      <c r="F5" s="106"/>
      <c r="G5" s="106"/>
      <c r="H5" s="106"/>
      <c r="I5" s="106"/>
    </row>
    <row r="6" spans="1:10" s="30" customFormat="1" ht="15" customHeight="1" x14ac:dyDescent="0.3">
      <c r="A6" s="29" t="s">
        <v>259</v>
      </c>
      <c r="B6" s="105"/>
      <c r="C6" s="106"/>
      <c r="D6" s="106"/>
      <c r="E6" s="106"/>
      <c r="F6" s="106"/>
      <c r="G6" s="106"/>
      <c r="H6" s="106"/>
      <c r="I6" s="106"/>
    </row>
    <row r="7" spans="1:10" s="30" customFormat="1" ht="15" customHeight="1" x14ac:dyDescent="0.3">
      <c r="A7" s="29" t="s">
        <v>260</v>
      </c>
      <c r="B7" s="105"/>
      <c r="C7" s="106"/>
      <c r="D7" s="106"/>
      <c r="E7" s="106"/>
      <c r="F7" s="106"/>
      <c r="G7" s="106"/>
      <c r="H7" s="106"/>
      <c r="I7" s="106"/>
    </row>
    <row r="8" spans="1:10" s="31" customFormat="1" ht="24.9" customHeight="1" x14ac:dyDescent="0.3">
      <c r="A8" s="123" t="s">
        <v>283</v>
      </c>
      <c r="B8" s="124"/>
      <c r="C8" s="124"/>
      <c r="D8" s="124"/>
      <c r="E8" s="124"/>
      <c r="F8" s="125"/>
      <c r="G8" s="44" t="s">
        <v>253</v>
      </c>
      <c r="H8" s="120" t="s">
        <v>254</v>
      </c>
      <c r="I8" s="122"/>
    </row>
    <row r="9" spans="1:10" s="33" customFormat="1" ht="15" customHeight="1" x14ac:dyDescent="0.3">
      <c r="A9" s="27" t="s">
        <v>4</v>
      </c>
      <c r="B9" s="32" t="s">
        <v>261</v>
      </c>
      <c r="C9" s="32" t="s">
        <v>250</v>
      </c>
      <c r="D9" s="32" t="s">
        <v>1</v>
      </c>
      <c r="E9" s="32" t="s">
        <v>251</v>
      </c>
      <c r="F9" s="32" t="s">
        <v>2</v>
      </c>
      <c r="G9" s="32" t="s">
        <v>262</v>
      </c>
      <c r="H9" s="32" t="s">
        <v>0</v>
      </c>
      <c r="I9" s="32" t="s">
        <v>280</v>
      </c>
      <c r="J9" s="55"/>
    </row>
    <row r="10" spans="1:10" s="30" customFormat="1" ht="15" customHeight="1" x14ac:dyDescent="0.3">
      <c r="A10" s="58" t="str">
        <f>'CLIENTE PEDIDO'!B10</f>
        <v>Limpiador de Motor SF (sin disolventes)</v>
      </c>
      <c r="B10" s="29" t="str">
        <f>'CLIENTE PEDIDO'!C10</f>
        <v>2010 SF</v>
      </c>
      <c r="C10" s="29" t="str">
        <f>'CLIENTE PEDIDO'!D10</f>
        <v>300 ml</v>
      </c>
      <c r="D10" s="29" t="str">
        <f>IF(A10="-","",'CLIENTE PEDIDO'!E10)</f>
        <v>unidad</v>
      </c>
      <c r="E10" s="29">
        <f>IF(A10="-","",'CLIENTE PEDIDO'!F10)</f>
        <v>12</v>
      </c>
      <c r="F10" s="29">
        <f>'CLIENTE PEDIDO'!H10</f>
        <v>12</v>
      </c>
      <c r="G10" s="29">
        <f>'CLIENTE PEDIDO'!I10</f>
        <v>10.285</v>
      </c>
      <c r="H10" s="29">
        <f>'CLIENTE PEDIDO'!M10</f>
        <v>5</v>
      </c>
      <c r="I10" s="29">
        <f>'CLIENTE PEDIDO'!O10</f>
        <v>117.249</v>
      </c>
    </row>
    <row r="11" spans="1:10" s="30" customFormat="1" ht="15" customHeight="1" x14ac:dyDescent="0.3">
      <c r="A11" s="58" t="str">
        <f>'CLIENTE PEDIDO'!B11</f>
        <v>Protector del Sistema de Refrigeración</v>
      </c>
      <c r="B11" s="29">
        <f>'CLIENTE PEDIDO'!C11</f>
        <v>2020</v>
      </c>
      <c r="C11" s="29" t="str">
        <f>'CLIENTE PEDIDO'!D11</f>
        <v>300 ml</v>
      </c>
      <c r="D11" s="29" t="str">
        <f>IF(A11="-","",'CLIENTE PEDIDO'!E11)</f>
        <v>caja</v>
      </c>
      <c r="E11" s="29">
        <f>IF(A11="-","",'CLIENTE PEDIDO'!F11)</f>
        <v>1</v>
      </c>
      <c r="F11" s="29">
        <f>'CLIENTE PEDIDO'!H11</f>
        <v>24</v>
      </c>
      <c r="G11" s="29">
        <f>'CLIENTE PEDIDO'!I11</f>
        <v>8.4700000000000006</v>
      </c>
      <c r="H11" s="29">
        <f>'CLIENTE PEDIDO'!M11</f>
        <v>15</v>
      </c>
      <c r="I11" s="29">
        <f>'CLIENTE PEDIDO'!O11</f>
        <v>172.78800000000001</v>
      </c>
    </row>
    <row r="12" spans="1:10" s="30" customFormat="1" ht="15" customHeight="1" x14ac:dyDescent="0.3">
      <c r="A12" s="58" t="str">
        <f>'CLIENTE PEDIDO'!B12</f>
        <v>Airfresh Menta</v>
      </c>
      <c r="B12" s="29">
        <f>'CLIENTE PEDIDO'!C12</f>
        <v>2125</v>
      </c>
      <c r="C12" s="29" t="str">
        <f>'CLIENTE PEDIDO'!D12</f>
        <v>100 ml</v>
      </c>
      <c r="D12" s="29" t="str">
        <f>IF(A12="-","",'CLIENTE PEDIDO'!E12)</f>
        <v>caja</v>
      </c>
      <c r="E12" s="29">
        <f>IF(A12="-","",'CLIENTE PEDIDO'!F12)</f>
        <v>1</v>
      </c>
      <c r="F12" s="29">
        <f>'CLIENTE PEDIDO'!H12</f>
        <v>24</v>
      </c>
      <c r="G12" s="29">
        <f>'CLIENTE PEDIDO'!I12</f>
        <v>10.175000000000001</v>
      </c>
      <c r="H12" s="29">
        <f>'CLIENTE PEDIDO'!M12</f>
        <v>15</v>
      </c>
      <c r="I12" s="29">
        <f>'CLIENTE PEDIDO'!O12</f>
        <v>207.57000000000002</v>
      </c>
    </row>
    <row r="13" spans="1:10" s="30" customFormat="1" ht="15" customHeight="1" x14ac:dyDescent="0.3">
      <c r="A13" s="58" t="str">
        <f>'CLIENTE PEDIDO'!B13</f>
        <v>Limpiador Intensivo Diésel</v>
      </c>
      <c r="B13" s="29">
        <f>'CLIENTE PEDIDO'!C13</f>
        <v>2030</v>
      </c>
      <c r="C13" s="29" t="str">
        <f>'CLIENTE PEDIDO'!D13</f>
        <v>500 ml</v>
      </c>
      <c r="D13" s="29" t="str">
        <f>IF(A13="-","",'CLIENTE PEDIDO'!E13)</f>
        <v>unidad</v>
      </c>
      <c r="E13" s="29">
        <f>IF(A13="-","",'CLIENTE PEDIDO'!F13)</f>
        <v>3</v>
      </c>
      <c r="F13" s="29">
        <f>'CLIENTE PEDIDO'!H13</f>
        <v>3</v>
      </c>
      <c r="G13" s="29">
        <f>'CLIENTE PEDIDO'!I13</f>
        <v>9.9550000000000018</v>
      </c>
      <c r="H13" s="29" t="str">
        <f>'CLIENTE PEDIDO'!M13</f>
        <v>0</v>
      </c>
      <c r="I13" s="29">
        <f>'CLIENTE PEDIDO'!O13</f>
        <v>29.865000000000006</v>
      </c>
    </row>
    <row r="14" spans="1:10" s="30" customFormat="1" ht="15" customHeight="1" x14ac:dyDescent="0.3">
      <c r="A14" s="58" t="str">
        <f>'CLIENTE PEDIDO'!B14</f>
        <v>Frenos Hi Tec</v>
      </c>
      <c r="B14" s="29">
        <f>'CLIENTE PEDIDO'!C14</f>
        <v>255</v>
      </c>
      <c r="C14" s="29" t="str">
        <f>'CLIENTE PEDIDO'!D14</f>
        <v>400 ml</v>
      </c>
      <c r="D14" s="29" t="str">
        <f>IF(A14="-","",'CLIENTE PEDIDO'!E14)</f>
        <v>unidad</v>
      </c>
      <c r="E14" s="29">
        <f>IF(A14="-","",'CLIENTE PEDIDO'!F14)</f>
        <v>5</v>
      </c>
      <c r="F14" s="29">
        <f>'CLIENTE PEDIDO'!H14</f>
        <v>5</v>
      </c>
      <c r="G14" s="29">
        <f>'CLIENTE PEDIDO'!I14</f>
        <v>11.66</v>
      </c>
      <c r="H14" s="29" t="str">
        <f>'CLIENTE PEDIDO'!M14</f>
        <v>0</v>
      </c>
      <c r="I14" s="29">
        <f>'CLIENTE PEDIDO'!O14</f>
        <v>58.3</v>
      </c>
    </row>
    <row r="15" spans="1:10" s="30" customFormat="1" ht="15" customHeight="1" x14ac:dyDescent="0.3">
      <c r="A15" s="58" t="str">
        <f>'CLIENTE PEDIDO'!B15</f>
        <v>-</v>
      </c>
      <c r="B15" s="29" t="str">
        <f>'CLIENTE PEDIDO'!C15</f>
        <v/>
      </c>
      <c r="C15" s="29" t="str">
        <f>'CLIENTE PEDIDO'!D15</f>
        <v/>
      </c>
      <c r="D15" s="29" t="str">
        <f>IF(A15="-","",'CLIENTE PEDIDO'!E15)</f>
        <v/>
      </c>
      <c r="E15" s="29" t="str">
        <f>IF(A15="-","",'CLIENTE PEDIDO'!F15)</f>
        <v/>
      </c>
      <c r="F15" s="29" t="str">
        <f>'CLIENTE PEDIDO'!H15</f>
        <v/>
      </c>
      <c r="G15" s="29" t="str">
        <f>'CLIENTE PEDIDO'!I15</f>
        <v/>
      </c>
      <c r="H15" s="29" t="str">
        <f>'CLIENTE PEDIDO'!M15</f>
        <v/>
      </c>
      <c r="I15" s="29" t="str">
        <f>'CLIENTE PEDIDO'!O15</f>
        <v/>
      </c>
    </row>
    <row r="16" spans="1:10" s="30" customFormat="1" ht="15" customHeight="1" x14ac:dyDescent="0.3">
      <c r="A16" s="58" t="str">
        <f>'CLIENTE PEDIDO'!B16</f>
        <v>-</v>
      </c>
      <c r="B16" s="29" t="str">
        <f>'CLIENTE PEDIDO'!C16</f>
        <v/>
      </c>
      <c r="C16" s="29" t="str">
        <f>'CLIENTE PEDIDO'!D16</f>
        <v/>
      </c>
      <c r="D16" s="29" t="str">
        <f>IF(A16="-","",'CLIENTE PEDIDO'!E16)</f>
        <v/>
      </c>
      <c r="E16" s="29" t="str">
        <f>IF(A16="-","",'CLIENTE PEDIDO'!F16)</f>
        <v/>
      </c>
      <c r="F16" s="29" t="str">
        <f>'CLIENTE PEDIDO'!H16</f>
        <v/>
      </c>
      <c r="G16" s="29" t="str">
        <f>'CLIENTE PEDIDO'!I16</f>
        <v/>
      </c>
      <c r="H16" s="29" t="str">
        <f>'CLIENTE PEDIDO'!M16</f>
        <v/>
      </c>
      <c r="I16" s="29" t="str">
        <f>'CLIENTE PEDIDO'!O16</f>
        <v/>
      </c>
    </row>
    <row r="17" spans="1:9" s="30" customFormat="1" ht="15" customHeight="1" x14ac:dyDescent="0.3">
      <c r="A17" s="58" t="str">
        <f>'CLIENTE PEDIDO'!B17</f>
        <v>-</v>
      </c>
      <c r="B17" s="29" t="str">
        <f>'CLIENTE PEDIDO'!C17</f>
        <v/>
      </c>
      <c r="C17" s="29" t="str">
        <f>'CLIENTE PEDIDO'!D17</f>
        <v/>
      </c>
      <c r="D17" s="29" t="str">
        <f>IF(A17="-","",'CLIENTE PEDIDO'!E17)</f>
        <v/>
      </c>
      <c r="E17" s="29" t="str">
        <f>IF(A17="-","",'CLIENTE PEDIDO'!F17)</f>
        <v/>
      </c>
      <c r="F17" s="29" t="str">
        <f>'CLIENTE PEDIDO'!H17</f>
        <v/>
      </c>
      <c r="G17" s="29" t="str">
        <f>'CLIENTE PEDIDO'!I17</f>
        <v/>
      </c>
      <c r="H17" s="29" t="str">
        <f>'CLIENTE PEDIDO'!M17</f>
        <v/>
      </c>
      <c r="I17" s="29" t="str">
        <f>'CLIENTE PEDIDO'!O17</f>
        <v/>
      </c>
    </row>
    <row r="18" spans="1:9" s="30" customFormat="1" ht="15" customHeight="1" x14ac:dyDescent="0.3">
      <c r="A18" s="58" t="str">
        <f>'CLIENTE PEDIDO'!B18</f>
        <v>-</v>
      </c>
      <c r="B18" s="29" t="str">
        <f>'CLIENTE PEDIDO'!C18</f>
        <v/>
      </c>
      <c r="C18" s="29" t="str">
        <f>'CLIENTE PEDIDO'!D18</f>
        <v/>
      </c>
      <c r="D18" s="29" t="str">
        <f>IF(A18="-","",'CLIENTE PEDIDO'!E18)</f>
        <v/>
      </c>
      <c r="E18" s="29" t="str">
        <f>IF(A18="-","",'CLIENTE PEDIDO'!F18)</f>
        <v/>
      </c>
      <c r="F18" s="29" t="str">
        <f>'CLIENTE PEDIDO'!H18</f>
        <v/>
      </c>
      <c r="G18" s="29" t="str">
        <f>'CLIENTE PEDIDO'!I18</f>
        <v/>
      </c>
      <c r="H18" s="29" t="str">
        <f>'CLIENTE PEDIDO'!M18</f>
        <v/>
      </c>
      <c r="I18" s="29" t="str">
        <f>'CLIENTE PEDIDO'!O18</f>
        <v/>
      </c>
    </row>
    <row r="19" spans="1:9" s="30" customFormat="1" ht="15" customHeight="1" x14ac:dyDescent="0.3">
      <c r="A19" s="58" t="str">
        <f>'CLIENTE PEDIDO'!B19</f>
        <v>-</v>
      </c>
      <c r="B19" s="29" t="str">
        <f>'CLIENTE PEDIDO'!C19</f>
        <v/>
      </c>
      <c r="C19" s="29" t="str">
        <f>'CLIENTE PEDIDO'!D19</f>
        <v/>
      </c>
      <c r="D19" s="29" t="str">
        <f>IF(A19="-","",'CLIENTE PEDIDO'!E19)</f>
        <v/>
      </c>
      <c r="E19" s="29" t="str">
        <f>IF(A19="-","",'CLIENTE PEDIDO'!F19)</f>
        <v/>
      </c>
      <c r="F19" s="29" t="str">
        <f>'CLIENTE PEDIDO'!H19</f>
        <v/>
      </c>
      <c r="G19" s="29" t="str">
        <f>'CLIENTE PEDIDO'!I19</f>
        <v/>
      </c>
      <c r="H19" s="29" t="str">
        <f>'CLIENTE PEDIDO'!M19</f>
        <v/>
      </c>
      <c r="I19" s="29" t="str">
        <f>'CLIENTE PEDIDO'!O19</f>
        <v/>
      </c>
    </row>
    <row r="20" spans="1:9" s="30" customFormat="1" ht="15" customHeight="1" x14ac:dyDescent="0.3">
      <c r="A20" s="58" t="str">
        <f>'CLIENTE PEDIDO'!B20</f>
        <v>-</v>
      </c>
      <c r="B20" s="29" t="str">
        <f>'CLIENTE PEDIDO'!C20</f>
        <v/>
      </c>
      <c r="C20" s="29" t="str">
        <f>'CLIENTE PEDIDO'!D20</f>
        <v/>
      </c>
      <c r="D20" s="29" t="str">
        <f>IF(A20="-","",'CLIENTE PEDIDO'!E20)</f>
        <v/>
      </c>
      <c r="E20" s="29" t="str">
        <f>IF(A20="-","",'CLIENTE PEDIDO'!F20)</f>
        <v/>
      </c>
      <c r="F20" s="29" t="str">
        <f>'CLIENTE PEDIDO'!H20</f>
        <v/>
      </c>
      <c r="G20" s="29" t="str">
        <f>'CLIENTE PEDIDO'!I20</f>
        <v/>
      </c>
      <c r="H20" s="29" t="str">
        <f>'CLIENTE PEDIDO'!M20</f>
        <v/>
      </c>
      <c r="I20" s="29" t="str">
        <f>'CLIENTE PEDIDO'!O20</f>
        <v/>
      </c>
    </row>
    <row r="21" spans="1:9" s="30" customFormat="1" ht="15" customHeight="1" x14ac:dyDescent="0.3">
      <c r="A21" s="58" t="str">
        <f>'CLIENTE PEDIDO'!B21</f>
        <v>-</v>
      </c>
      <c r="B21" s="29" t="str">
        <f>'CLIENTE PEDIDO'!C21</f>
        <v/>
      </c>
      <c r="C21" s="29" t="str">
        <f>'CLIENTE PEDIDO'!D21</f>
        <v/>
      </c>
      <c r="D21" s="29" t="str">
        <f>IF(A21="-","",'CLIENTE PEDIDO'!E21)</f>
        <v/>
      </c>
      <c r="E21" s="29" t="str">
        <f>IF(A21="-","",'CLIENTE PEDIDO'!F21)</f>
        <v/>
      </c>
      <c r="F21" s="29" t="str">
        <f>'CLIENTE PEDIDO'!H21</f>
        <v/>
      </c>
      <c r="G21" s="29" t="str">
        <f>'CLIENTE PEDIDO'!I21</f>
        <v/>
      </c>
      <c r="H21" s="29" t="str">
        <f>'CLIENTE PEDIDO'!M21</f>
        <v/>
      </c>
      <c r="I21" s="29" t="str">
        <f>'CLIENTE PEDIDO'!O21</f>
        <v/>
      </c>
    </row>
    <row r="22" spans="1:9" s="30" customFormat="1" ht="15" customHeight="1" x14ac:dyDescent="0.3">
      <c r="A22" s="58" t="str">
        <f>'CLIENTE PEDIDO'!B22</f>
        <v>-</v>
      </c>
      <c r="B22" s="29" t="str">
        <f>'CLIENTE PEDIDO'!C22</f>
        <v/>
      </c>
      <c r="C22" s="29" t="str">
        <f>'CLIENTE PEDIDO'!D22</f>
        <v/>
      </c>
      <c r="D22" s="29" t="str">
        <f>IF(A22="-","",'CLIENTE PEDIDO'!E22)</f>
        <v/>
      </c>
      <c r="E22" s="29" t="str">
        <f>IF(A22="-","",'CLIENTE PEDIDO'!F22)</f>
        <v/>
      </c>
      <c r="F22" s="29" t="str">
        <f>'CLIENTE PEDIDO'!H22</f>
        <v/>
      </c>
      <c r="G22" s="29" t="str">
        <f>'CLIENTE PEDIDO'!I22</f>
        <v/>
      </c>
      <c r="H22" s="29" t="str">
        <f>'CLIENTE PEDIDO'!M22</f>
        <v/>
      </c>
      <c r="I22" s="29" t="str">
        <f>'CLIENTE PEDIDO'!O22</f>
        <v/>
      </c>
    </row>
    <row r="23" spans="1:9" s="30" customFormat="1" ht="15" customHeight="1" x14ac:dyDescent="0.3">
      <c r="A23" s="58" t="str">
        <f>'CLIENTE PEDIDO'!B23</f>
        <v>-</v>
      </c>
      <c r="B23" s="29" t="str">
        <f>'CLIENTE PEDIDO'!C23</f>
        <v/>
      </c>
      <c r="C23" s="29" t="str">
        <f>'CLIENTE PEDIDO'!D23</f>
        <v/>
      </c>
      <c r="D23" s="29" t="str">
        <f>IF(A23="-","",'CLIENTE PEDIDO'!E23)</f>
        <v/>
      </c>
      <c r="E23" s="29" t="str">
        <f>IF(A23="-","",'CLIENTE PEDIDO'!F23)</f>
        <v/>
      </c>
      <c r="F23" s="29" t="str">
        <f>'CLIENTE PEDIDO'!H23</f>
        <v/>
      </c>
      <c r="G23" s="29" t="str">
        <f>'CLIENTE PEDIDO'!I23</f>
        <v/>
      </c>
      <c r="H23" s="29" t="str">
        <f>'CLIENTE PEDIDO'!M23</f>
        <v/>
      </c>
      <c r="I23" s="29" t="str">
        <f>'CLIENTE PEDIDO'!O23</f>
        <v/>
      </c>
    </row>
    <row r="24" spans="1:9" s="30" customFormat="1" ht="15" customHeight="1" x14ac:dyDescent="0.3">
      <c r="A24" s="58" t="str">
        <f>'CLIENTE PEDIDO'!B24</f>
        <v>-</v>
      </c>
      <c r="B24" s="29" t="str">
        <f>'CLIENTE PEDIDO'!C24</f>
        <v/>
      </c>
      <c r="C24" s="29" t="str">
        <f>'CLIENTE PEDIDO'!D24</f>
        <v/>
      </c>
      <c r="D24" s="29" t="str">
        <f>IF(A24="-","",'CLIENTE PEDIDO'!E24)</f>
        <v/>
      </c>
      <c r="E24" s="29" t="str">
        <f>IF(A24="-","",'CLIENTE PEDIDO'!F24)</f>
        <v/>
      </c>
      <c r="F24" s="29" t="str">
        <f>'CLIENTE PEDIDO'!H24</f>
        <v/>
      </c>
      <c r="G24" s="29" t="str">
        <f>'CLIENTE PEDIDO'!I24</f>
        <v/>
      </c>
      <c r="H24" s="29" t="str">
        <f>'CLIENTE PEDIDO'!M24</f>
        <v/>
      </c>
      <c r="I24" s="29" t="str">
        <f>'CLIENTE PEDIDO'!O24</f>
        <v/>
      </c>
    </row>
    <row r="25" spans="1:9" s="30" customFormat="1" ht="15" customHeight="1" x14ac:dyDescent="0.3">
      <c r="A25" s="37"/>
      <c r="B25" s="37"/>
      <c r="C25" s="37"/>
      <c r="D25" s="38"/>
      <c r="E25" s="39"/>
      <c r="F25" s="39"/>
      <c r="G25" s="39"/>
      <c r="H25" s="56" t="s">
        <v>281</v>
      </c>
      <c r="I25" s="36">
        <f>SUM(I10:I24)</f>
        <v>585.77200000000005</v>
      </c>
    </row>
    <row r="26" spans="1:9" s="30" customFormat="1" ht="15" customHeight="1" x14ac:dyDescent="0.3">
      <c r="A26" s="37"/>
      <c r="B26" s="37"/>
      <c r="C26" s="37"/>
      <c r="D26" s="38"/>
      <c r="E26" s="39"/>
      <c r="F26" s="39"/>
      <c r="G26" s="39"/>
      <c r="H26" s="57" t="s">
        <v>282</v>
      </c>
      <c r="I26" s="36">
        <f>I25*0.21</f>
        <v>123.01212000000001</v>
      </c>
    </row>
    <row r="27" spans="1:9" s="30" customFormat="1" ht="19.95" customHeight="1" x14ac:dyDescent="0.3">
      <c r="A27" s="37"/>
      <c r="B27" s="37"/>
      <c r="C27" s="37"/>
      <c r="D27" s="33"/>
      <c r="E27" s="33"/>
      <c r="F27" s="33"/>
      <c r="G27" s="33"/>
      <c r="H27" s="33"/>
      <c r="I27" s="40">
        <f>I25+I26</f>
        <v>708.78412000000003</v>
      </c>
    </row>
    <row r="28" spans="1:9" s="43" customFormat="1" ht="15" customHeight="1" x14ac:dyDescent="0.3">
      <c r="A28" s="41"/>
      <c r="B28" s="41"/>
      <c r="C28" s="41"/>
      <c r="D28" s="42"/>
      <c r="E28" s="42"/>
      <c r="F28" s="42"/>
      <c r="G28" s="42"/>
      <c r="H28" s="42"/>
      <c r="I28" s="42"/>
    </row>
    <row r="29" spans="1:9" x14ac:dyDescent="0.3">
      <c r="A29" s="10" t="s">
        <v>264</v>
      </c>
      <c r="B29" s="126" t="s">
        <v>267</v>
      </c>
      <c r="C29" s="128"/>
      <c r="D29" s="128"/>
      <c r="E29" s="128"/>
      <c r="F29" s="128"/>
    </row>
    <row r="30" spans="1:9" x14ac:dyDescent="0.3">
      <c r="A30" s="10" t="s">
        <v>268</v>
      </c>
      <c r="B30" s="10"/>
      <c r="C30" s="13" t="s">
        <v>269</v>
      </c>
      <c r="D30"/>
      <c r="E30" s="46" t="s">
        <v>270</v>
      </c>
      <c r="F30"/>
    </row>
    <row r="31" spans="1:9" x14ac:dyDescent="0.3">
      <c r="A31" s="10" t="s">
        <v>265</v>
      </c>
      <c r="B31" s="126" t="s">
        <v>266</v>
      </c>
      <c r="C31" s="127"/>
    </row>
    <row r="36" spans="1:9" ht="15.6" x14ac:dyDescent="0.3">
      <c r="A36" s="2"/>
      <c r="B36" s="2"/>
      <c r="C36" s="2"/>
      <c r="D36" s="6"/>
      <c r="E36" s="6"/>
      <c r="F36" s="6"/>
      <c r="G36" s="7"/>
      <c r="H36" s="6"/>
      <c r="I36" s="6"/>
    </row>
    <row r="37" spans="1:9" x14ac:dyDescent="0.3">
      <c r="D37" s="8"/>
      <c r="E37" s="8"/>
      <c r="F37" s="8"/>
      <c r="G37" s="5"/>
      <c r="H37" s="8"/>
      <c r="I37" s="5"/>
    </row>
    <row r="38" spans="1:9" x14ac:dyDescent="0.3">
      <c r="D38" s="8"/>
      <c r="E38" s="8"/>
      <c r="F38" s="8"/>
      <c r="G38" s="5"/>
      <c r="H38" s="8"/>
      <c r="I38" s="5"/>
    </row>
    <row r="39" spans="1:9" x14ac:dyDescent="0.3">
      <c r="D39" s="8"/>
      <c r="E39" s="8"/>
      <c r="F39" s="8"/>
      <c r="G39" s="5"/>
      <c r="H39" s="8"/>
      <c r="I39" s="5"/>
    </row>
    <row r="40" spans="1:9" x14ac:dyDescent="0.3">
      <c r="D40" s="8"/>
      <c r="E40" s="8"/>
      <c r="F40" s="8"/>
      <c r="G40" s="5"/>
      <c r="H40" s="8"/>
      <c r="I40" s="5"/>
    </row>
    <row r="41" spans="1:9" x14ac:dyDescent="0.3">
      <c r="D41" s="8"/>
      <c r="E41" s="8"/>
      <c r="F41" s="8"/>
      <c r="G41" s="5"/>
      <c r="H41" s="8"/>
      <c r="I41" s="5"/>
    </row>
    <row r="42" spans="1:9" x14ac:dyDescent="0.3">
      <c r="D42" s="8"/>
      <c r="E42" s="8"/>
      <c r="F42" s="8"/>
      <c r="G42" s="5"/>
      <c r="H42" s="8"/>
      <c r="I42" s="5"/>
    </row>
    <row r="43" spans="1:9" x14ac:dyDescent="0.3">
      <c r="D43" s="8"/>
      <c r="E43" s="8"/>
      <c r="F43" s="8"/>
      <c r="G43" s="5"/>
      <c r="H43" s="8"/>
      <c r="I43" s="5"/>
    </row>
    <row r="44" spans="1:9" x14ac:dyDescent="0.3">
      <c r="D44" s="8"/>
      <c r="E44" s="8"/>
      <c r="F44" s="8"/>
      <c r="G44" s="5"/>
      <c r="H44" s="8"/>
      <c r="I44" s="5"/>
    </row>
    <row r="45" spans="1:9" x14ac:dyDescent="0.3">
      <c r="A45" s="10"/>
      <c r="B45" s="10"/>
      <c r="C45" s="10"/>
      <c r="D45" s="8"/>
      <c r="E45" s="8"/>
      <c r="F45" s="8"/>
      <c r="G45" s="5"/>
      <c r="H45" s="8"/>
      <c r="I45" s="5"/>
    </row>
    <row r="47" spans="1:9" ht="15.6" x14ac:dyDescent="0.3">
      <c r="A47" s="2"/>
      <c r="B47" s="2"/>
      <c r="C47" s="2"/>
      <c r="D47" s="6"/>
      <c r="E47" s="6"/>
      <c r="F47" s="6"/>
      <c r="G47" s="6"/>
      <c r="H47" s="6"/>
      <c r="I47" s="6"/>
    </row>
    <row r="48" spans="1:9" ht="15.6" x14ac:dyDescent="0.3">
      <c r="A48" s="2"/>
      <c r="B48" s="2"/>
      <c r="C48" s="2"/>
      <c r="G48" s="6"/>
    </row>
    <row r="59" spans="1:9" ht="15.6" x14ac:dyDescent="0.3">
      <c r="A59" s="2"/>
      <c r="B59" s="2"/>
      <c r="C59" s="2"/>
      <c r="D59" s="6"/>
      <c r="E59" s="6"/>
      <c r="F59" s="6"/>
      <c r="G59" s="6"/>
      <c r="H59" s="6"/>
      <c r="I59" s="6"/>
    </row>
    <row r="71" spans="1:9" ht="15.6" x14ac:dyDescent="0.3">
      <c r="A71" s="2"/>
      <c r="B71" s="2"/>
      <c r="C71" s="2"/>
      <c r="D71" s="6"/>
      <c r="E71" s="6"/>
      <c r="F71" s="6"/>
      <c r="G71" s="6"/>
      <c r="H71" s="6"/>
      <c r="I71" s="6"/>
    </row>
    <row r="72" spans="1:9" ht="15.6" x14ac:dyDescent="0.3">
      <c r="A72" s="2"/>
      <c r="B72" s="2"/>
      <c r="C72" s="2"/>
      <c r="G72" s="6"/>
    </row>
    <row r="87" spans="1:9" ht="15.6" x14ac:dyDescent="0.3">
      <c r="A87" s="2"/>
      <c r="B87" s="2"/>
      <c r="C87" s="2"/>
      <c r="D87" s="6"/>
      <c r="E87" s="6"/>
      <c r="F87" s="6"/>
      <c r="G87" s="6"/>
      <c r="H87" s="6"/>
      <c r="I87" s="6"/>
    </row>
    <row r="99" spans="1:9" ht="15.6" x14ac:dyDescent="0.3">
      <c r="A99" s="2"/>
      <c r="B99" s="2"/>
      <c r="C99" s="2"/>
      <c r="D99" s="6"/>
      <c r="E99" s="6"/>
      <c r="F99" s="6"/>
      <c r="G99" s="6"/>
      <c r="H99" s="6"/>
      <c r="I99" s="6"/>
    </row>
    <row r="100" spans="1:9" ht="15.6" x14ac:dyDescent="0.3">
      <c r="A100" s="2"/>
      <c r="B100" s="2"/>
      <c r="C100" s="2"/>
      <c r="G100" s="6"/>
    </row>
    <row r="115" spans="1:9" ht="15.6" x14ac:dyDescent="0.3">
      <c r="A115" s="2"/>
      <c r="B115" s="2"/>
      <c r="C115" s="2"/>
      <c r="D115" s="6"/>
      <c r="E115" s="6"/>
      <c r="F115" s="6"/>
      <c r="G115" s="6"/>
      <c r="H115" s="6"/>
      <c r="I115" s="6"/>
    </row>
    <row r="127" spans="1:9" ht="15.6" x14ac:dyDescent="0.3">
      <c r="A127" s="2"/>
      <c r="B127" s="2"/>
      <c r="C127" s="2"/>
      <c r="D127" s="6"/>
      <c r="E127" s="6"/>
      <c r="F127" s="6"/>
      <c r="G127" s="6"/>
      <c r="H127" s="6"/>
      <c r="I127" s="6"/>
    </row>
    <row r="129" spans="1:9" ht="19.8" x14ac:dyDescent="0.4">
      <c r="A129" s="3"/>
      <c r="B129" s="3"/>
      <c r="C129" s="3"/>
      <c r="D129" s="9"/>
      <c r="E129" s="9"/>
      <c r="F129" s="9"/>
      <c r="G129" s="9"/>
      <c r="H129" s="9"/>
      <c r="I129" s="9"/>
    </row>
  </sheetData>
  <dataConsolidate/>
  <mergeCells count="11">
    <mergeCell ref="B7:I7"/>
    <mergeCell ref="A8:F8"/>
    <mergeCell ref="H8:I8"/>
    <mergeCell ref="B29:F29"/>
    <mergeCell ref="B31:C31"/>
    <mergeCell ref="B6:I6"/>
    <mergeCell ref="A1:I1"/>
    <mergeCell ref="B2:I2"/>
    <mergeCell ref="B3:I3"/>
    <mergeCell ref="B4:I4"/>
    <mergeCell ref="B5:I5"/>
  </mergeCells>
  <hyperlinks>
    <hyperlink ref="E30" r:id="rId1" xr:uid="{4CE37378-474D-4867-8D64-4A61797BBEE5}"/>
  </hyperlinks>
  <pageMargins left="0.25" right="0.25" top="0.75" bottom="0.75" header="0.3" footer="0.3"/>
  <pageSetup paperSize="9" orientation="landscape" r:id="rId2"/>
  <ignoredErrors>
    <ignoredError sqref="A10 I10:I24 H10:H24 G10:G24 F10:F24 C10:C24 B10:B24 A11:A24 D10:D24 E10:E24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950DC00-1E6E-4B90-AC6A-745EDB02C137}">
          <x14:formula1>
            <xm:f>DATOS!$F$3:$F$12</xm:f>
          </x14:formula1>
          <xm:sqref>A25:C26</xm:sqref>
        </x14:dataValidation>
        <x14:dataValidation type="list" allowBlank="1" showInputMessage="1" showErrorMessage="1" xr:uid="{F09F3772-7755-4518-A384-6F167CC509F0}">
          <x14:formula1>
            <xm:f>DATOS!$F$27:$F$135</xm:f>
          </x14:formula1>
          <xm:sqref>D25:D26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05DC2-6442-4B1A-A571-95B3A192967B}">
  <sheetPr codeName="Hoja5"/>
  <dimension ref="A1:K129"/>
  <sheetViews>
    <sheetView zoomScale="85" zoomScaleNormal="85" workbookViewId="0">
      <selection activeCell="L29" sqref="L29"/>
    </sheetView>
  </sheetViews>
  <sheetFormatPr baseColWidth="10" defaultColWidth="8.88671875" defaultRowHeight="14.4" x14ac:dyDescent="0.3"/>
  <cols>
    <col min="1" max="1" width="32.6640625" style="11" customWidth="1"/>
    <col min="2" max="3" width="12.6640625" style="11" customWidth="1"/>
    <col min="4" max="7" width="12.6640625" style="4" customWidth="1"/>
    <col min="8" max="8" width="13.6640625" style="4" customWidth="1"/>
    <col min="9" max="9" width="8.6640625" style="4" hidden="1" customWidth="1"/>
    <col min="10" max="10" width="12.6640625" style="4" customWidth="1"/>
    <col min="11" max="16384" width="8.88671875" style="1"/>
  </cols>
  <sheetData>
    <row r="1" spans="1:11" ht="24.9" customHeight="1" x14ac:dyDescent="0.3">
      <c r="A1" s="129" t="s">
        <v>271</v>
      </c>
      <c r="B1" s="130"/>
      <c r="C1" s="130"/>
      <c r="D1" s="130"/>
      <c r="E1" s="130"/>
      <c r="F1" s="130"/>
      <c r="G1" s="130"/>
      <c r="H1" s="130"/>
      <c r="I1" s="130"/>
      <c r="J1" s="131"/>
    </row>
    <row r="2" spans="1:11" s="30" customFormat="1" ht="15" customHeight="1" x14ac:dyDescent="0.3">
      <c r="A2" s="29" t="s">
        <v>255</v>
      </c>
      <c r="B2" s="105"/>
      <c r="C2" s="106"/>
      <c r="D2" s="106"/>
      <c r="E2" s="106"/>
      <c r="F2" s="106"/>
      <c r="G2" s="106"/>
      <c r="H2" s="106"/>
      <c r="I2" s="106"/>
      <c r="J2" s="106"/>
    </row>
    <row r="3" spans="1:11" s="30" customFormat="1" ht="15" customHeight="1" x14ac:dyDescent="0.3">
      <c r="A3" s="29" t="s">
        <v>256</v>
      </c>
      <c r="B3" s="105"/>
      <c r="C3" s="106"/>
      <c r="D3" s="106"/>
      <c r="E3" s="106"/>
      <c r="F3" s="106"/>
      <c r="G3" s="106"/>
      <c r="H3" s="106"/>
      <c r="I3" s="106"/>
      <c r="J3" s="106"/>
    </row>
    <row r="4" spans="1:11" s="30" customFormat="1" ht="15" customHeight="1" x14ac:dyDescent="0.3">
      <c r="A4" s="29" t="s">
        <v>257</v>
      </c>
      <c r="B4" s="105"/>
      <c r="C4" s="106"/>
      <c r="D4" s="106"/>
      <c r="E4" s="106"/>
      <c r="F4" s="106"/>
      <c r="G4" s="106"/>
      <c r="H4" s="106"/>
      <c r="I4" s="106"/>
      <c r="J4" s="106"/>
    </row>
    <row r="5" spans="1:11" s="30" customFormat="1" ht="15" customHeight="1" x14ac:dyDescent="0.3">
      <c r="A5" s="29" t="s">
        <v>258</v>
      </c>
      <c r="B5" s="105"/>
      <c r="C5" s="106"/>
      <c r="D5" s="106"/>
      <c r="E5" s="106"/>
      <c r="F5" s="106"/>
      <c r="G5" s="106"/>
      <c r="H5" s="106"/>
      <c r="I5" s="106"/>
      <c r="J5" s="106"/>
    </row>
    <row r="6" spans="1:11" s="30" customFormat="1" ht="15" customHeight="1" x14ac:dyDescent="0.3">
      <c r="A6" s="29" t="s">
        <v>259</v>
      </c>
      <c r="B6" s="105"/>
      <c r="C6" s="106"/>
      <c r="D6" s="106"/>
      <c r="E6" s="106"/>
      <c r="F6" s="106"/>
      <c r="G6" s="106"/>
      <c r="H6" s="106"/>
      <c r="I6" s="106"/>
      <c r="J6" s="106"/>
    </row>
    <row r="7" spans="1:11" s="30" customFormat="1" ht="15" customHeight="1" x14ac:dyDescent="0.3">
      <c r="A7" s="29" t="s">
        <v>260</v>
      </c>
      <c r="B7" s="105"/>
      <c r="C7" s="106"/>
      <c r="D7" s="106"/>
      <c r="E7" s="106"/>
      <c r="F7" s="106"/>
      <c r="G7" s="106"/>
      <c r="H7" s="106"/>
      <c r="I7" s="106"/>
      <c r="J7" s="106"/>
    </row>
    <row r="8" spans="1:11" s="31" customFormat="1" ht="24.9" customHeight="1" x14ac:dyDescent="0.3">
      <c r="A8" s="123" t="s">
        <v>283</v>
      </c>
      <c r="B8" s="124"/>
      <c r="C8" s="124"/>
      <c r="D8" s="124"/>
      <c r="E8" s="124"/>
      <c r="F8" s="125"/>
      <c r="G8" s="44" t="s">
        <v>253</v>
      </c>
      <c r="H8" s="120" t="s">
        <v>254</v>
      </c>
      <c r="I8" s="121"/>
      <c r="J8" s="122"/>
    </row>
    <row r="9" spans="1:11" s="33" customFormat="1" ht="15" customHeight="1" x14ac:dyDescent="0.3">
      <c r="A9" s="27" t="s">
        <v>4</v>
      </c>
      <c r="B9" s="32" t="s">
        <v>261</v>
      </c>
      <c r="C9" s="32" t="s">
        <v>250</v>
      </c>
      <c r="D9" s="32" t="s">
        <v>1</v>
      </c>
      <c r="E9" s="32" t="s">
        <v>251</v>
      </c>
      <c r="F9" s="32" t="s">
        <v>2</v>
      </c>
      <c r="G9" s="32" t="s">
        <v>262</v>
      </c>
      <c r="H9" s="32" t="s">
        <v>0</v>
      </c>
      <c r="I9" s="52" t="s">
        <v>279</v>
      </c>
      <c r="J9" s="32" t="s">
        <v>284</v>
      </c>
      <c r="K9" s="55"/>
    </row>
    <row r="10" spans="1:11" s="30" customFormat="1" ht="15" customHeight="1" x14ac:dyDescent="0.3">
      <c r="A10" s="58" t="str">
        <f>'CLIENTE PEDIDO'!B10</f>
        <v>Limpiador de Motor SF (sin disolventes)</v>
      </c>
      <c r="B10" s="29" t="str">
        <f>'CLIENTE PEDIDO'!C10</f>
        <v>2010 SF</v>
      </c>
      <c r="C10" s="29" t="str">
        <f>'CLIENTE PEDIDO'!D10</f>
        <v>300 ml</v>
      </c>
      <c r="D10" s="29" t="str">
        <f>IF(A10="-","",'CLIENTE PEDIDO'!E10)</f>
        <v>unidad</v>
      </c>
      <c r="E10" s="29">
        <f>IF(A10="-","",'CLIENTE PEDIDO'!F10)</f>
        <v>12</v>
      </c>
      <c r="F10" s="29">
        <f>'CLIENTE PEDIDO'!H10</f>
        <v>12</v>
      </c>
      <c r="G10" s="59">
        <f>IF(A10="-","",VLOOKUP(A10,DATOS!$I$3:$W$138,15,FALSE))</f>
        <v>2.2000000000000002</v>
      </c>
      <c r="H10" s="59">
        <f>IF(A10="-","",('CLIENTE PEDIDO'!M10)/2)</f>
        <v>2.5</v>
      </c>
      <c r="I10" s="59">
        <f>(100-H10)/100</f>
        <v>0.97499999999999998</v>
      </c>
      <c r="J10" s="59">
        <f>IF(A10="-","",F10*G10*I10)</f>
        <v>25.740000000000002</v>
      </c>
    </row>
    <row r="11" spans="1:11" s="30" customFormat="1" ht="15" customHeight="1" x14ac:dyDescent="0.3">
      <c r="A11" s="58" t="str">
        <f>'CLIENTE PEDIDO'!B11</f>
        <v>Protector del Sistema de Refrigeración</v>
      </c>
      <c r="B11" s="29">
        <f>'CLIENTE PEDIDO'!C11</f>
        <v>2020</v>
      </c>
      <c r="C11" s="29" t="str">
        <f>'CLIENTE PEDIDO'!D11</f>
        <v>300 ml</v>
      </c>
      <c r="D11" s="29" t="str">
        <f>IF(A11="-","",'CLIENTE PEDIDO'!E11)</f>
        <v>caja</v>
      </c>
      <c r="E11" s="29">
        <f>IF(A11="-","",'CLIENTE PEDIDO'!F11)</f>
        <v>1</v>
      </c>
      <c r="F11" s="29">
        <f>'CLIENTE PEDIDO'!H11</f>
        <v>24</v>
      </c>
      <c r="G11" s="59">
        <f>IF(A11="-","",VLOOKUP(A11,DATOS!$I$3:$W$138,15,FALSE))</f>
        <v>1.4000000000000004</v>
      </c>
      <c r="H11" s="59">
        <f>IF(A11="-","",('CLIENTE PEDIDO'!M11)/2)</f>
        <v>7.5</v>
      </c>
      <c r="I11" s="59">
        <f>'CLIENTE PEDIDO'!N11</f>
        <v>0.85</v>
      </c>
      <c r="J11" s="59">
        <f t="shared" ref="J11:J24" si="0">IF(A11="-","",F11*G11*I11)</f>
        <v>28.560000000000006</v>
      </c>
    </row>
    <row r="12" spans="1:11" s="30" customFormat="1" ht="15" customHeight="1" x14ac:dyDescent="0.3">
      <c r="A12" s="58" t="str">
        <f>'CLIENTE PEDIDO'!B12</f>
        <v>Airfresh Menta</v>
      </c>
      <c r="B12" s="29">
        <f>'CLIENTE PEDIDO'!C12</f>
        <v>2125</v>
      </c>
      <c r="C12" s="29" t="str">
        <f>'CLIENTE PEDIDO'!D12</f>
        <v>100 ml</v>
      </c>
      <c r="D12" s="29" t="str">
        <f>IF(A12="-","",'CLIENTE PEDIDO'!E12)</f>
        <v>caja</v>
      </c>
      <c r="E12" s="29">
        <f>IF(A12="-","",'CLIENTE PEDIDO'!F12)</f>
        <v>1</v>
      </c>
      <c r="F12" s="29">
        <f>'CLIENTE PEDIDO'!H12</f>
        <v>24</v>
      </c>
      <c r="G12" s="59">
        <f>IF(A12="-","",VLOOKUP(A12,DATOS!$I$3:$W$138,15,FALSE))</f>
        <v>2</v>
      </c>
      <c r="H12" s="59">
        <f>IF(A12="-","",('CLIENTE PEDIDO'!M12)/2)</f>
        <v>7.5</v>
      </c>
      <c r="I12" s="59">
        <f>'CLIENTE PEDIDO'!N12</f>
        <v>0.85</v>
      </c>
      <c r="J12" s="59">
        <f t="shared" si="0"/>
        <v>40.799999999999997</v>
      </c>
    </row>
    <row r="13" spans="1:11" s="30" customFormat="1" ht="15" customHeight="1" x14ac:dyDescent="0.3">
      <c r="A13" s="58" t="str">
        <f>'CLIENTE PEDIDO'!B13</f>
        <v>Limpiador Intensivo Diésel</v>
      </c>
      <c r="B13" s="29">
        <f>'CLIENTE PEDIDO'!C13</f>
        <v>2030</v>
      </c>
      <c r="C13" s="29" t="str">
        <f>'CLIENTE PEDIDO'!D13</f>
        <v>500 ml</v>
      </c>
      <c r="D13" s="29" t="str">
        <f>IF(A13="-","",'CLIENTE PEDIDO'!E13)</f>
        <v>unidad</v>
      </c>
      <c r="E13" s="29">
        <f>IF(A13="-","",'CLIENTE PEDIDO'!F13)</f>
        <v>3</v>
      </c>
      <c r="F13" s="29">
        <f>'CLIENTE PEDIDO'!H13</f>
        <v>3</v>
      </c>
      <c r="G13" s="59">
        <f>IF(A13="-","",VLOOKUP(A13,DATOS!$I$3:$W$138,15,FALSE))</f>
        <v>1.8000000000000005</v>
      </c>
      <c r="H13" s="59">
        <f>IF(A13="-","",('CLIENTE PEDIDO'!M13)/2)</f>
        <v>0</v>
      </c>
      <c r="I13" s="59">
        <f>'CLIENTE PEDIDO'!N13</f>
        <v>1</v>
      </c>
      <c r="J13" s="59">
        <f t="shared" si="0"/>
        <v>5.4000000000000012</v>
      </c>
    </row>
    <row r="14" spans="1:11" s="30" customFormat="1" ht="15" customHeight="1" x14ac:dyDescent="0.3">
      <c r="A14" s="58" t="str">
        <f>'CLIENTE PEDIDO'!B14</f>
        <v>Frenos Hi Tec</v>
      </c>
      <c r="B14" s="29">
        <f>'CLIENTE PEDIDO'!C14</f>
        <v>255</v>
      </c>
      <c r="C14" s="29" t="str">
        <f>'CLIENTE PEDIDO'!D14</f>
        <v>400 ml</v>
      </c>
      <c r="D14" s="29" t="str">
        <f>IF(A14="-","",'CLIENTE PEDIDO'!E14)</f>
        <v>unidad</v>
      </c>
      <c r="E14" s="29">
        <f>IF(A14="-","",'CLIENTE PEDIDO'!F14)</f>
        <v>5</v>
      </c>
      <c r="F14" s="29">
        <f>'CLIENTE PEDIDO'!H14</f>
        <v>5</v>
      </c>
      <c r="G14" s="59">
        <f>IF(A14="-","",VLOOKUP(A14,DATOS!$I$3:$W$138,15,FALSE))</f>
        <v>2.3800000000000003</v>
      </c>
      <c r="H14" s="59">
        <f>IF(A14="-","",('CLIENTE PEDIDO'!M14)/2)</f>
        <v>0</v>
      </c>
      <c r="I14" s="59">
        <f>'CLIENTE PEDIDO'!N14</f>
        <v>1</v>
      </c>
      <c r="J14" s="59">
        <f t="shared" si="0"/>
        <v>11.900000000000002</v>
      </c>
    </row>
    <row r="15" spans="1:11" s="30" customFormat="1" ht="15" customHeight="1" x14ac:dyDescent="0.3">
      <c r="A15" s="58" t="str">
        <f>'CLIENTE PEDIDO'!B15</f>
        <v>-</v>
      </c>
      <c r="B15" s="29" t="str">
        <f>'CLIENTE PEDIDO'!C15</f>
        <v/>
      </c>
      <c r="C15" s="29" t="str">
        <f>'CLIENTE PEDIDO'!D15</f>
        <v/>
      </c>
      <c r="D15" s="29" t="str">
        <f>IF(A15="-","",'CLIENTE PEDIDO'!E15)</f>
        <v/>
      </c>
      <c r="E15" s="29" t="str">
        <f>IF(A15="-","",'CLIENTE PEDIDO'!F15)</f>
        <v/>
      </c>
      <c r="F15" s="29" t="str">
        <f>'CLIENTE PEDIDO'!H15</f>
        <v/>
      </c>
      <c r="G15" s="59" t="str">
        <f>IF(A15="-","",VLOOKUP(A15,DATOS!$I$3:$W$138,15,FALSE))</f>
        <v/>
      </c>
      <c r="H15" s="59" t="str">
        <f>IF(A15="-","",('CLIENTE PEDIDO'!M15)/2)</f>
        <v/>
      </c>
      <c r="I15" s="59" t="str">
        <f>'CLIENTE PEDIDO'!N15</f>
        <v/>
      </c>
      <c r="J15" s="59" t="str">
        <f t="shared" si="0"/>
        <v/>
      </c>
    </row>
    <row r="16" spans="1:11" s="30" customFormat="1" ht="15" customHeight="1" x14ac:dyDescent="0.3">
      <c r="A16" s="58" t="str">
        <f>'CLIENTE PEDIDO'!B16</f>
        <v>-</v>
      </c>
      <c r="B16" s="29" t="str">
        <f>'CLIENTE PEDIDO'!C16</f>
        <v/>
      </c>
      <c r="C16" s="29" t="str">
        <f>'CLIENTE PEDIDO'!D16</f>
        <v/>
      </c>
      <c r="D16" s="29" t="str">
        <f>IF(A16="-","",'CLIENTE PEDIDO'!E16)</f>
        <v/>
      </c>
      <c r="E16" s="29" t="str">
        <f>IF(A16="-","",'CLIENTE PEDIDO'!F16)</f>
        <v/>
      </c>
      <c r="F16" s="29" t="str">
        <f>'CLIENTE PEDIDO'!H16</f>
        <v/>
      </c>
      <c r="G16" s="59" t="str">
        <f>IF(A16="-","",VLOOKUP(A16,DATOS!$I$3:$W$138,15,FALSE))</f>
        <v/>
      </c>
      <c r="H16" s="59" t="str">
        <f>IF(A16="-","",('CLIENTE PEDIDO'!M16)/2)</f>
        <v/>
      </c>
      <c r="I16" s="59" t="str">
        <f>'CLIENTE PEDIDO'!N16</f>
        <v/>
      </c>
      <c r="J16" s="59" t="str">
        <f t="shared" si="0"/>
        <v/>
      </c>
    </row>
    <row r="17" spans="1:10" s="30" customFormat="1" ht="15" customHeight="1" x14ac:dyDescent="0.3">
      <c r="A17" s="58" t="str">
        <f>'CLIENTE PEDIDO'!B17</f>
        <v>-</v>
      </c>
      <c r="B17" s="29" t="str">
        <f>'CLIENTE PEDIDO'!C17</f>
        <v/>
      </c>
      <c r="C17" s="29" t="str">
        <f>'CLIENTE PEDIDO'!D17</f>
        <v/>
      </c>
      <c r="D17" s="29" t="str">
        <f>IF(A17="-","",'CLIENTE PEDIDO'!E17)</f>
        <v/>
      </c>
      <c r="E17" s="29" t="str">
        <f>IF(A17="-","",'CLIENTE PEDIDO'!F17)</f>
        <v/>
      </c>
      <c r="F17" s="29" t="str">
        <f>'CLIENTE PEDIDO'!H17</f>
        <v/>
      </c>
      <c r="G17" s="59" t="str">
        <f>IF(A17="-","",VLOOKUP(A17,DATOS!$I$3:$W$138,15,FALSE))</f>
        <v/>
      </c>
      <c r="H17" s="59" t="str">
        <f>IF(A17="-","",('CLIENTE PEDIDO'!M17)/2)</f>
        <v/>
      </c>
      <c r="I17" s="59" t="str">
        <f>'CLIENTE PEDIDO'!N17</f>
        <v/>
      </c>
      <c r="J17" s="59" t="str">
        <f t="shared" si="0"/>
        <v/>
      </c>
    </row>
    <row r="18" spans="1:10" s="30" customFormat="1" ht="15" customHeight="1" x14ac:dyDescent="0.3">
      <c r="A18" s="58" t="str">
        <f>'CLIENTE PEDIDO'!B18</f>
        <v>-</v>
      </c>
      <c r="B18" s="29" t="str">
        <f>'CLIENTE PEDIDO'!C18</f>
        <v/>
      </c>
      <c r="C18" s="29" t="str">
        <f>'CLIENTE PEDIDO'!D18</f>
        <v/>
      </c>
      <c r="D18" s="29" t="str">
        <f>IF(A18="-","",'CLIENTE PEDIDO'!E18)</f>
        <v/>
      </c>
      <c r="E18" s="29" t="str">
        <f>IF(A18="-","",'CLIENTE PEDIDO'!F18)</f>
        <v/>
      </c>
      <c r="F18" s="29" t="str">
        <f>'CLIENTE PEDIDO'!H18</f>
        <v/>
      </c>
      <c r="G18" s="59" t="str">
        <f>IF(A18="-","",VLOOKUP(A18,DATOS!$I$3:$W$138,15,FALSE))</f>
        <v/>
      </c>
      <c r="H18" s="59" t="str">
        <f>IF(A18="-","",('CLIENTE PEDIDO'!M18)/2)</f>
        <v/>
      </c>
      <c r="I18" s="59" t="str">
        <f>'CLIENTE PEDIDO'!N18</f>
        <v/>
      </c>
      <c r="J18" s="59" t="str">
        <f t="shared" si="0"/>
        <v/>
      </c>
    </row>
    <row r="19" spans="1:10" s="30" customFormat="1" ht="15" customHeight="1" x14ac:dyDescent="0.3">
      <c r="A19" s="58" t="str">
        <f>'CLIENTE PEDIDO'!B19</f>
        <v>-</v>
      </c>
      <c r="B19" s="29" t="str">
        <f>'CLIENTE PEDIDO'!C19</f>
        <v/>
      </c>
      <c r="C19" s="29" t="str">
        <f>'CLIENTE PEDIDO'!D19</f>
        <v/>
      </c>
      <c r="D19" s="29" t="str">
        <f>IF(A19="-","",'CLIENTE PEDIDO'!E19)</f>
        <v/>
      </c>
      <c r="E19" s="29" t="str">
        <f>IF(A19="-","",'CLIENTE PEDIDO'!F19)</f>
        <v/>
      </c>
      <c r="F19" s="29" t="str">
        <f>'CLIENTE PEDIDO'!H19</f>
        <v/>
      </c>
      <c r="G19" s="59" t="str">
        <f>IF(A19="-","",VLOOKUP(A19,DATOS!$I$3:$W$138,15,FALSE))</f>
        <v/>
      </c>
      <c r="H19" s="59" t="str">
        <f>IF(A19="-","",('CLIENTE PEDIDO'!M19)/2)</f>
        <v/>
      </c>
      <c r="I19" s="59" t="str">
        <f>'CLIENTE PEDIDO'!N19</f>
        <v/>
      </c>
      <c r="J19" s="59" t="str">
        <f t="shared" si="0"/>
        <v/>
      </c>
    </row>
    <row r="20" spans="1:10" s="30" customFormat="1" ht="15" customHeight="1" x14ac:dyDescent="0.3">
      <c r="A20" s="58" t="str">
        <f>'CLIENTE PEDIDO'!B20</f>
        <v>-</v>
      </c>
      <c r="B20" s="29" t="str">
        <f>'CLIENTE PEDIDO'!C20</f>
        <v/>
      </c>
      <c r="C20" s="29" t="str">
        <f>'CLIENTE PEDIDO'!D20</f>
        <v/>
      </c>
      <c r="D20" s="29" t="str">
        <f>IF(A20="-","",'CLIENTE PEDIDO'!E20)</f>
        <v/>
      </c>
      <c r="E20" s="29" t="str">
        <f>IF(A20="-","",'CLIENTE PEDIDO'!F20)</f>
        <v/>
      </c>
      <c r="F20" s="29" t="str">
        <f>'CLIENTE PEDIDO'!H20</f>
        <v/>
      </c>
      <c r="G20" s="59" t="str">
        <f>IF(A20="-","",VLOOKUP(A20,DATOS!$I$3:$W$138,15,FALSE))</f>
        <v/>
      </c>
      <c r="H20" s="59" t="str">
        <f>IF(A20="-","",('CLIENTE PEDIDO'!M20)/2)</f>
        <v/>
      </c>
      <c r="I20" s="59" t="str">
        <f>'CLIENTE PEDIDO'!N20</f>
        <v/>
      </c>
      <c r="J20" s="59" t="str">
        <f t="shared" si="0"/>
        <v/>
      </c>
    </row>
    <row r="21" spans="1:10" s="30" customFormat="1" ht="15" customHeight="1" x14ac:dyDescent="0.3">
      <c r="A21" s="58" t="str">
        <f>'CLIENTE PEDIDO'!B21</f>
        <v>-</v>
      </c>
      <c r="B21" s="29" t="str">
        <f>'CLIENTE PEDIDO'!C21</f>
        <v/>
      </c>
      <c r="C21" s="29" t="str">
        <f>'CLIENTE PEDIDO'!D21</f>
        <v/>
      </c>
      <c r="D21" s="29" t="str">
        <f>IF(A21="-","",'CLIENTE PEDIDO'!E21)</f>
        <v/>
      </c>
      <c r="E21" s="29" t="str">
        <f>IF(A21="-","",'CLIENTE PEDIDO'!F21)</f>
        <v/>
      </c>
      <c r="F21" s="29" t="str">
        <f>'CLIENTE PEDIDO'!H21</f>
        <v/>
      </c>
      <c r="G21" s="59" t="str">
        <f>IF(A21="-","",VLOOKUP(A21,DATOS!$I$3:$W$138,15,FALSE))</f>
        <v/>
      </c>
      <c r="H21" s="59" t="str">
        <f>IF(A21="-","",('CLIENTE PEDIDO'!M21)/2)</f>
        <v/>
      </c>
      <c r="I21" s="59" t="str">
        <f>'CLIENTE PEDIDO'!N21</f>
        <v/>
      </c>
      <c r="J21" s="59" t="str">
        <f t="shared" si="0"/>
        <v/>
      </c>
    </row>
    <row r="22" spans="1:10" s="30" customFormat="1" ht="15" customHeight="1" x14ac:dyDescent="0.3">
      <c r="A22" s="58" t="str">
        <f>'CLIENTE PEDIDO'!B22</f>
        <v>-</v>
      </c>
      <c r="B22" s="29" t="str">
        <f>'CLIENTE PEDIDO'!C22</f>
        <v/>
      </c>
      <c r="C22" s="29" t="str">
        <f>'CLIENTE PEDIDO'!D22</f>
        <v/>
      </c>
      <c r="D22" s="29" t="str">
        <f>IF(A22="-","",'CLIENTE PEDIDO'!E22)</f>
        <v/>
      </c>
      <c r="E22" s="29" t="str">
        <f>IF(A22="-","",'CLIENTE PEDIDO'!F22)</f>
        <v/>
      </c>
      <c r="F22" s="29" t="str">
        <f>'CLIENTE PEDIDO'!H22</f>
        <v/>
      </c>
      <c r="G22" s="59" t="str">
        <f>IF(A22="-","",VLOOKUP(A22,DATOS!$I$3:$W$138,15,FALSE))</f>
        <v/>
      </c>
      <c r="H22" s="59" t="str">
        <f>IF(A22="-","",('CLIENTE PEDIDO'!M22)/2)</f>
        <v/>
      </c>
      <c r="I22" s="59" t="str">
        <f>'CLIENTE PEDIDO'!N22</f>
        <v/>
      </c>
      <c r="J22" s="59" t="str">
        <f t="shared" si="0"/>
        <v/>
      </c>
    </row>
    <row r="23" spans="1:10" s="30" customFormat="1" ht="15" customHeight="1" x14ac:dyDescent="0.3">
      <c r="A23" s="58" t="str">
        <f>'CLIENTE PEDIDO'!B23</f>
        <v>-</v>
      </c>
      <c r="B23" s="29" t="str">
        <f>'CLIENTE PEDIDO'!C23</f>
        <v/>
      </c>
      <c r="C23" s="29" t="str">
        <f>'CLIENTE PEDIDO'!D23</f>
        <v/>
      </c>
      <c r="D23" s="29" t="str">
        <f>IF(A23="-","",'CLIENTE PEDIDO'!E23)</f>
        <v/>
      </c>
      <c r="E23" s="29" t="str">
        <f>IF(A23="-","",'CLIENTE PEDIDO'!F23)</f>
        <v/>
      </c>
      <c r="F23" s="29" t="str">
        <f>'CLIENTE PEDIDO'!H23</f>
        <v/>
      </c>
      <c r="G23" s="59" t="str">
        <f>IF(A23="-","",VLOOKUP(A23,DATOS!$I$3:$W$138,15,FALSE))</f>
        <v/>
      </c>
      <c r="H23" s="59" t="str">
        <f>IF(A23="-","",('CLIENTE PEDIDO'!M23)/2)</f>
        <v/>
      </c>
      <c r="I23" s="59" t="str">
        <f>'CLIENTE PEDIDO'!N23</f>
        <v/>
      </c>
      <c r="J23" s="59" t="str">
        <f t="shared" si="0"/>
        <v/>
      </c>
    </row>
    <row r="24" spans="1:10" s="30" customFormat="1" ht="15" customHeight="1" x14ac:dyDescent="0.3">
      <c r="A24" s="58" t="str">
        <f>'CLIENTE PEDIDO'!B24</f>
        <v>-</v>
      </c>
      <c r="B24" s="29" t="str">
        <f>'CLIENTE PEDIDO'!C24</f>
        <v/>
      </c>
      <c r="C24" s="29" t="str">
        <f>'CLIENTE PEDIDO'!D24</f>
        <v/>
      </c>
      <c r="D24" s="29" t="str">
        <f>IF(A24="-","",'CLIENTE PEDIDO'!E24)</f>
        <v/>
      </c>
      <c r="E24" s="29" t="str">
        <f>IF(A24="-","",'CLIENTE PEDIDO'!F24)</f>
        <v/>
      </c>
      <c r="F24" s="29" t="str">
        <f>'CLIENTE PEDIDO'!H24</f>
        <v/>
      </c>
      <c r="G24" s="59" t="str">
        <f>IF(A24="-","",VLOOKUP(A24,DATOS!$I$3:$W$138,15,FALSE))</f>
        <v/>
      </c>
      <c r="H24" s="59" t="str">
        <f>IF(A24="-","",('CLIENTE PEDIDO'!M24)/2)</f>
        <v/>
      </c>
      <c r="I24" s="59" t="str">
        <f>'CLIENTE PEDIDO'!N24</f>
        <v/>
      </c>
      <c r="J24" s="59" t="str">
        <f t="shared" si="0"/>
        <v/>
      </c>
    </row>
    <row r="25" spans="1:10" s="30" customFormat="1" ht="15" customHeight="1" x14ac:dyDescent="0.3">
      <c r="A25" s="37"/>
      <c r="B25" s="37"/>
      <c r="C25" s="37"/>
      <c r="D25" s="38"/>
      <c r="E25" s="39"/>
      <c r="F25" s="39"/>
      <c r="G25" s="39"/>
      <c r="H25" s="29" t="str">
        <f>'CLIENTE FACTURA'!H25</f>
        <v>TOTAL B.I.</v>
      </c>
      <c r="J25" s="60">
        <f>SUM(J10:J24)</f>
        <v>112.40000000000002</v>
      </c>
    </row>
    <row r="26" spans="1:10" s="30" customFormat="1" ht="15" customHeight="1" x14ac:dyDescent="0.3">
      <c r="A26" s="37"/>
      <c r="B26" s="37"/>
      <c r="C26" s="37"/>
      <c r="D26" s="38"/>
      <c r="E26" s="39"/>
      <c r="F26" s="39"/>
      <c r="G26" s="39"/>
      <c r="H26" s="29" t="str">
        <f>'CLIENTE FACTURA'!H26</f>
        <v>I.V.A. (21%)</v>
      </c>
      <c r="I26" s="54">
        <v>0.21</v>
      </c>
      <c r="J26" s="60">
        <f>J25*0.21</f>
        <v>23.604000000000003</v>
      </c>
    </row>
    <row r="27" spans="1:10" s="30" customFormat="1" ht="19.95" customHeight="1" x14ac:dyDescent="0.3">
      <c r="A27" s="37"/>
      <c r="B27" s="37"/>
      <c r="C27" s="37"/>
      <c r="D27" s="33"/>
      <c r="E27" s="33"/>
      <c r="F27" s="33"/>
      <c r="G27" s="33"/>
      <c r="H27" s="33"/>
      <c r="I27" s="33"/>
      <c r="J27" s="60">
        <f>J25+J26</f>
        <v>136.00400000000002</v>
      </c>
    </row>
    <row r="28" spans="1:10" s="43" customFormat="1" ht="15" customHeight="1" x14ac:dyDescent="0.3">
      <c r="A28" s="41"/>
      <c r="B28" s="41"/>
      <c r="C28" s="41"/>
      <c r="D28" s="42"/>
      <c r="E28" s="42"/>
      <c r="F28" s="42"/>
      <c r="G28" s="42"/>
      <c r="H28" s="42"/>
      <c r="I28" s="42"/>
      <c r="J28" s="42"/>
    </row>
    <row r="29" spans="1:10" x14ac:dyDescent="0.3">
      <c r="A29" s="10" t="s">
        <v>264</v>
      </c>
      <c r="B29" s="126" t="s">
        <v>267</v>
      </c>
      <c r="C29" s="128"/>
      <c r="D29" s="128"/>
      <c r="E29" s="128"/>
      <c r="F29" s="128"/>
    </row>
    <row r="30" spans="1:10" x14ac:dyDescent="0.3">
      <c r="A30" s="10" t="s">
        <v>268</v>
      </c>
      <c r="B30" s="10"/>
      <c r="C30" s="13" t="s">
        <v>269</v>
      </c>
      <c r="D30"/>
      <c r="E30" s="46" t="s">
        <v>270</v>
      </c>
      <c r="F30"/>
    </row>
    <row r="31" spans="1:10" x14ac:dyDescent="0.3">
      <c r="A31" s="10" t="s">
        <v>265</v>
      </c>
      <c r="B31" s="126" t="s">
        <v>266</v>
      </c>
      <c r="C31" s="127"/>
    </row>
    <row r="36" spans="1:10" ht="15.6" x14ac:dyDescent="0.3">
      <c r="A36" s="2"/>
      <c r="B36" s="2"/>
      <c r="C36" s="2"/>
      <c r="D36" s="6"/>
      <c r="E36" s="6"/>
      <c r="F36" s="6"/>
      <c r="G36" s="7"/>
      <c r="H36" s="6"/>
      <c r="I36" s="6"/>
      <c r="J36" s="6"/>
    </row>
    <row r="37" spans="1:10" x14ac:dyDescent="0.3">
      <c r="D37" s="8"/>
      <c r="E37" s="8"/>
      <c r="F37" s="8"/>
      <c r="G37" s="5"/>
      <c r="H37" s="8"/>
      <c r="I37" s="8"/>
      <c r="J37" s="5"/>
    </row>
    <row r="38" spans="1:10" x14ac:dyDescent="0.3">
      <c r="D38" s="8"/>
      <c r="E38" s="8"/>
      <c r="F38" s="8"/>
      <c r="G38" s="5"/>
      <c r="H38" s="8"/>
      <c r="I38" s="8"/>
      <c r="J38" s="5"/>
    </row>
    <row r="39" spans="1:10" x14ac:dyDescent="0.3">
      <c r="D39" s="8"/>
      <c r="E39" s="8"/>
      <c r="F39" s="8"/>
      <c r="G39" s="5"/>
      <c r="H39" s="8"/>
      <c r="I39" s="8"/>
      <c r="J39" s="5"/>
    </row>
    <row r="40" spans="1:10" x14ac:dyDescent="0.3">
      <c r="D40" s="8"/>
      <c r="E40" s="8"/>
      <c r="F40" s="8"/>
      <c r="G40" s="5"/>
      <c r="H40" s="8"/>
      <c r="I40" s="8"/>
      <c r="J40" s="5"/>
    </row>
    <row r="41" spans="1:10" x14ac:dyDescent="0.3">
      <c r="D41" s="8"/>
      <c r="E41" s="8"/>
      <c r="F41" s="8"/>
      <c r="G41" s="5"/>
      <c r="H41" s="8"/>
      <c r="I41" s="8"/>
      <c r="J41" s="5"/>
    </row>
    <row r="42" spans="1:10" x14ac:dyDescent="0.3">
      <c r="D42" s="8"/>
      <c r="E42" s="8"/>
      <c r="F42" s="8"/>
      <c r="G42" s="5"/>
      <c r="H42" s="8"/>
      <c r="I42" s="8"/>
      <c r="J42" s="5"/>
    </row>
    <row r="43" spans="1:10" x14ac:dyDescent="0.3">
      <c r="D43" s="8"/>
      <c r="E43" s="8"/>
      <c r="F43" s="8"/>
      <c r="G43" s="5"/>
      <c r="H43" s="8"/>
      <c r="I43" s="8"/>
      <c r="J43" s="5"/>
    </row>
    <row r="44" spans="1:10" x14ac:dyDescent="0.3">
      <c r="D44" s="8"/>
      <c r="E44" s="8"/>
      <c r="F44" s="8"/>
      <c r="G44" s="5"/>
      <c r="H44" s="8"/>
      <c r="I44" s="8"/>
      <c r="J44" s="5"/>
    </row>
    <row r="45" spans="1:10" x14ac:dyDescent="0.3">
      <c r="A45" s="10"/>
      <c r="B45" s="10"/>
      <c r="C45" s="10"/>
      <c r="D45" s="8"/>
      <c r="E45" s="8"/>
      <c r="F45" s="8"/>
      <c r="G45" s="5"/>
      <c r="H45" s="8"/>
      <c r="I45" s="8"/>
      <c r="J45" s="5"/>
    </row>
    <row r="47" spans="1:10" ht="15.6" x14ac:dyDescent="0.3">
      <c r="A47" s="2"/>
      <c r="B47" s="2"/>
      <c r="C47" s="2"/>
      <c r="D47" s="6"/>
      <c r="E47" s="6"/>
      <c r="F47" s="6"/>
      <c r="G47" s="6"/>
      <c r="H47" s="6"/>
      <c r="I47" s="6"/>
      <c r="J47" s="6"/>
    </row>
    <row r="48" spans="1:10" ht="15.6" x14ac:dyDescent="0.3">
      <c r="A48" s="2"/>
      <c r="B48" s="2"/>
      <c r="C48" s="2"/>
      <c r="G48" s="6"/>
    </row>
    <row r="59" spans="1:10" ht="15.6" x14ac:dyDescent="0.3">
      <c r="A59" s="2"/>
      <c r="B59" s="2"/>
      <c r="C59" s="2"/>
      <c r="D59" s="6"/>
      <c r="E59" s="6"/>
      <c r="F59" s="6"/>
      <c r="G59" s="6"/>
      <c r="H59" s="6"/>
      <c r="I59" s="6"/>
      <c r="J59" s="6"/>
    </row>
    <row r="71" spans="1:10" ht="15.6" x14ac:dyDescent="0.3">
      <c r="A71" s="2"/>
      <c r="B71" s="2"/>
      <c r="C71" s="2"/>
      <c r="D71" s="6"/>
      <c r="E71" s="6"/>
      <c r="F71" s="6"/>
      <c r="G71" s="6"/>
      <c r="H71" s="6"/>
      <c r="I71" s="6"/>
      <c r="J71" s="6"/>
    </row>
    <row r="72" spans="1:10" ht="15.6" x14ac:dyDescent="0.3">
      <c r="A72" s="2"/>
      <c r="B72" s="2"/>
      <c r="C72" s="2"/>
      <c r="G72" s="6"/>
    </row>
    <row r="87" spans="1:10" ht="15.6" x14ac:dyDescent="0.3">
      <c r="A87" s="2"/>
      <c r="B87" s="2"/>
      <c r="C87" s="2"/>
      <c r="D87" s="6"/>
      <c r="E87" s="6"/>
      <c r="F87" s="6"/>
      <c r="G87" s="6"/>
      <c r="H87" s="6"/>
      <c r="I87" s="6"/>
      <c r="J87" s="6"/>
    </row>
    <row r="99" spans="1:10" ht="15.6" x14ac:dyDescent="0.3">
      <c r="A99" s="2"/>
      <c r="B99" s="2"/>
      <c r="C99" s="2"/>
      <c r="D99" s="6"/>
      <c r="E99" s="6"/>
      <c r="F99" s="6"/>
      <c r="G99" s="6"/>
      <c r="H99" s="6"/>
      <c r="I99" s="6"/>
      <c r="J99" s="6"/>
    </row>
    <row r="100" spans="1:10" ht="15.6" x14ac:dyDescent="0.3">
      <c r="A100" s="2"/>
      <c r="B100" s="2"/>
      <c r="C100" s="2"/>
      <c r="G100" s="6"/>
    </row>
    <row r="115" spans="1:10" ht="15.6" x14ac:dyDescent="0.3">
      <c r="A115" s="2"/>
      <c r="B115" s="2"/>
      <c r="C115" s="2"/>
      <c r="D115" s="6"/>
      <c r="E115" s="6"/>
      <c r="F115" s="6"/>
      <c r="G115" s="6"/>
      <c r="H115" s="6"/>
      <c r="I115" s="6"/>
      <c r="J115" s="6"/>
    </row>
    <row r="127" spans="1:10" ht="15.6" x14ac:dyDescent="0.3">
      <c r="A127" s="2"/>
      <c r="B127" s="2"/>
      <c r="C127" s="2"/>
      <c r="D127" s="6"/>
      <c r="E127" s="6"/>
      <c r="F127" s="6"/>
      <c r="G127" s="6"/>
      <c r="H127" s="6"/>
      <c r="I127" s="6"/>
      <c r="J127" s="6"/>
    </row>
    <row r="129" spans="1:10" ht="19.8" x14ac:dyDescent="0.4">
      <c r="A129" s="3"/>
      <c r="B129" s="3"/>
      <c r="C129" s="3"/>
      <c r="D129" s="9"/>
      <c r="E129" s="9"/>
      <c r="F129" s="9"/>
      <c r="G129" s="9"/>
      <c r="H129" s="9"/>
      <c r="I129" s="9"/>
      <c r="J129" s="9"/>
    </row>
  </sheetData>
  <dataConsolidate/>
  <mergeCells count="11">
    <mergeCell ref="B7:J7"/>
    <mergeCell ref="A8:F8"/>
    <mergeCell ref="H8:J8"/>
    <mergeCell ref="B29:F29"/>
    <mergeCell ref="B31:C31"/>
    <mergeCell ref="B6:J6"/>
    <mergeCell ref="A1:J1"/>
    <mergeCell ref="B2:J2"/>
    <mergeCell ref="B3:J3"/>
    <mergeCell ref="B4:J4"/>
    <mergeCell ref="B5:J5"/>
  </mergeCells>
  <hyperlinks>
    <hyperlink ref="E30" r:id="rId1" xr:uid="{432F5B29-44B1-49DF-8CA7-BC78E18B5AB4}"/>
  </hyperlinks>
  <pageMargins left="0.25" right="0.25" top="0.75" bottom="0.75" header="0.3" footer="0.3"/>
  <pageSetup paperSize="9" orientation="landscape" r:id="rId2"/>
  <ignoredErrors>
    <ignoredError sqref="B10:B24 C10:C24 D10:D24 E10:E24 F10:F24 G10:G24 H10:H24 J10:J27 H25:H26" unlockedFormula="1"/>
  </ignoredError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374658D9-FEC2-4FD2-9516-653F58ED800B}">
          <x14:formula1>
            <xm:f>DATOS!$F$3:$F$12</xm:f>
          </x14:formula1>
          <xm:sqref>A25:C26</xm:sqref>
        </x14:dataValidation>
        <x14:dataValidation type="list" allowBlank="1" showInputMessage="1" showErrorMessage="1" xr:uid="{960F4512-1FD3-48D5-821A-9698B23EBF86}">
          <x14:formula1>
            <xm:f>DATOS!$F$27:$F$135</xm:f>
          </x14:formula1>
          <xm:sqref>D25:D26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AF729-D14F-4D43-9D10-2EBE5E56EE12}">
  <sheetPr codeName="Hoja4"/>
  <dimension ref="A1:AZ144"/>
  <sheetViews>
    <sheetView zoomScale="85" zoomScaleNormal="85" workbookViewId="0">
      <pane xSplit="8" ySplit="2" topLeftCell="I3" activePane="bottomRight" state="frozen"/>
      <selection activeCell="F1" sqref="F1"/>
      <selection pane="topRight" activeCell="I1" sqref="I1"/>
      <selection pane="bottomLeft" activeCell="F3" sqref="F3"/>
      <selection pane="bottomRight" activeCell="J54" sqref="J54"/>
    </sheetView>
  </sheetViews>
  <sheetFormatPr baseColWidth="10" defaultColWidth="8.88671875" defaultRowHeight="14.4" x14ac:dyDescent="0.3"/>
  <cols>
    <col min="1" max="3" width="11" hidden="1" customWidth="1"/>
    <col min="4" max="4" width="24" customWidth="1"/>
    <col min="5" max="5" width="11" customWidth="1"/>
    <col min="6" max="7" width="11.6640625" customWidth="1"/>
    <col min="8" max="8" width="40.88671875" customWidth="1"/>
    <col min="9" max="9" width="42.6640625" customWidth="1"/>
    <col min="10" max="11" width="22.5546875" customWidth="1"/>
    <col min="12" max="12" width="10.33203125" style="16" customWidth="1"/>
    <col min="13" max="13" width="13.33203125" style="16" customWidth="1"/>
    <col min="14" max="14" width="15.44140625" style="16" customWidth="1"/>
    <col min="15" max="15" width="15.6640625" style="16" customWidth="1"/>
    <col min="16" max="16" width="17.6640625" style="16" customWidth="1"/>
    <col min="17" max="17" width="14.5546875" style="16" customWidth="1"/>
    <col min="18" max="18" width="24.109375" style="16" customWidth="1"/>
    <col min="19" max="19" width="30.5546875" style="16" customWidth="1"/>
    <col min="20" max="20" width="17.6640625" style="16" customWidth="1"/>
    <col min="21" max="21" width="20.5546875" style="16" customWidth="1"/>
    <col min="22" max="22" width="28.6640625" style="16" customWidth="1"/>
    <col min="23" max="24" width="30.6640625" style="16" customWidth="1"/>
    <col min="25" max="25" width="17.6640625" style="17" customWidth="1"/>
    <col min="26" max="28" width="24.6640625" customWidth="1"/>
    <col min="29" max="31" width="23.5546875" customWidth="1"/>
    <col min="32" max="32" width="12" customWidth="1"/>
    <col min="33" max="33" width="14.109375" customWidth="1"/>
    <col min="34" max="34" width="27.44140625" customWidth="1"/>
    <col min="35" max="47" width="15.6640625" customWidth="1"/>
    <col min="48" max="51" width="8.88671875" customWidth="1"/>
    <col min="52" max="52" width="8.88671875" style="12" customWidth="1"/>
    <col min="53" max="53" width="8.88671875" customWidth="1"/>
  </cols>
  <sheetData>
    <row r="1" spans="1:39" x14ac:dyDescent="0.3">
      <c r="A1">
        <v>1</v>
      </c>
      <c r="B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</row>
    <row r="2" spans="1:39" x14ac:dyDescent="0.3">
      <c r="A2" s="13" t="s">
        <v>5</v>
      </c>
      <c r="B2" s="13" t="s">
        <v>78</v>
      </c>
      <c r="C2" s="13" t="s">
        <v>312</v>
      </c>
      <c r="D2" s="13"/>
      <c r="E2" s="13" t="s">
        <v>75</v>
      </c>
      <c r="F2" s="13" t="s">
        <v>6</v>
      </c>
      <c r="G2" s="13"/>
      <c r="H2" s="13" t="s">
        <v>167</v>
      </c>
      <c r="I2" s="13" t="s">
        <v>166</v>
      </c>
      <c r="J2" s="13" t="str">
        <f t="shared" ref="J2:J40" si="0">F2</f>
        <v>referencia</v>
      </c>
      <c r="K2" s="13">
        <f t="shared" ref="K2:K40" si="1">G2</f>
        <v>0</v>
      </c>
      <c r="L2" s="14" t="s">
        <v>9</v>
      </c>
      <c r="M2" s="14" t="s">
        <v>165</v>
      </c>
      <c r="N2" s="14" t="s">
        <v>164</v>
      </c>
      <c r="O2" s="14" t="s">
        <v>16</v>
      </c>
      <c r="P2" s="14" t="s">
        <v>17</v>
      </c>
      <c r="Q2" s="14" t="s">
        <v>14</v>
      </c>
      <c r="R2" s="14" t="s">
        <v>10</v>
      </c>
      <c r="S2" s="14" t="s">
        <v>15</v>
      </c>
      <c r="T2" s="14" t="s">
        <v>11</v>
      </c>
      <c r="U2" s="26" t="s">
        <v>242</v>
      </c>
      <c r="V2" s="14" t="s">
        <v>243</v>
      </c>
      <c r="W2" s="14" t="s">
        <v>244</v>
      </c>
      <c r="X2" s="14" t="s">
        <v>245</v>
      </c>
      <c r="Y2" s="15"/>
      <c r="Z2" s="13" t="s">
        <v>8</v>
      </c>
      <c r="AA2" s="14" t="s">
        <v>252</v>
      </c>
      <c r="AB2" s="14" t="s">
        <v>248</v>
      </c>
      <c r="AC2" s="13" t="s">
        <v>7</v>
      </c>
      <c r="AD2" s="13" t="s">
        <v>249</v>
      </c>
      <c r="AE2" s="13" t="s">
        <v>23</v>
      </c>
      <c r="AF2" s="14" t="s">
        <v>24</v>
      </c>
      <c r="AG2" s="14" t="s">
        <v>25</v>
      </c>
      <c r="AH2" s="13" t="s">
        <v>12</v>
      </c>
      <c r="AI2" s="13" t="s">
        <v>13</v>
      </c>
      <c r="AJ2" s="13" t="s">
        <v>55</v>
      </c>
      <c r="AK2" s="13" t="s">
        <v>54</v>
      </c>
      <c r="AL2" s="13" t="s">
        <v>22</v>
      </c>
      <c r="AM2" s="13" t="s">
        <v>27</v>
      </c>
    </row>
    <row r="3" spans="1:39" x14ac:dyDescent="0.3">
      <c r="A3" s="18" t="s">
        <v>3</v>
      </c>
      <c r="B3" s="13" t="s">
        <v>132</v>
      </c>
      <c r="C3" s="13">
        <v>1</v>
      </c>
      <c r="D3" s="13" t="str">
        <f>IF(C3=1,"Motor y Transmisión",IF(C3=2,"Refrigeración",IF(C3=3,"Climatización",IF(C3=4,"Sistema de Combustión",IF(C3=5,"Frenos",IF(C3=6,"Mantenimiento y Cuidado",IF(C3=7,"Carrocería","")))))))</f>
        <v>Motor y Transmisión</v>
      </c>
      <c r="E3" s="13">
        <v>1</v>
      </c>
      <c r="F3" s="13" t="s">
        <v>20</v>
      </c>
      <c r="G3" s="13">
        <f t="shared" ref="G3:G19" si="2">AE3*1000</f>
        <v>300</v>
      </c>
      <c r="H3" s="13" t="s">
        <v>133</v>
      </c>
      <c r="I3" s="13" t="s">
        <v>168</v>
      </c>
      <c r="J3" s="13" t="str">
        <f t="shared" si="0"/>
        <v>2010 SF</v>
      </c>
      <c r="K3" s="13">
        <f t="shared" si="1"/>
        <v>300</v>
      </c>
      <c r="L3" s="16">
        <v>2.95</v>
      </c>
      <c r="M3" s="16">
        <v>0.3</v>
      </c>
      <c r="N3" s="16">
        <v>0</v>
      </c>
      <c r="O3" s="16">
        <v>0.3</v>
      </c>
      <c r="P3" s="16">
        <v>0.3</v>
      </c>
      <c r="Q3" s="16">
        <f t="shared" ref="Q3:Q33" si="3">+L3+M3+N3+O3+P3</f>
        <v>3.8499999999999996</v>
      </c>
      <c r="R3" s="16">
        <v>9.35</v>
      </c>
      <c r="S3" s="16">
        <f t="shared" ref="S3:S33" si="4">R3*1.1</f>
        <v>10.285</v>
      </c>
      <c r="T3" s="16">
        <v>16.850000000000001</v>
      </c>
      <c r="U3" s="16">
        <f>R3-Q3</f>
        <v>5.5</v>
      </c>
      <c r="V3" s="16">
        <f t="shared" ref="V3:V33" si="5">U3*0.6</f>
        <v>3.3</v>
      </c>
      <c r="W3" s="16">
        <f t="shared" ref="W3:W33" si="6">U3*0.4</f>
        <v>2.2000000000000002</v>
      </c>
      <c r="Z3">
        <v>1</v>
      </c>
      <c r="AA3">
        <f t="shared" ref="AA3:AA33" si="7">INT(AC3/3)</f>
        <v>8</v>
      </c>
      <c r="AB3">
        <v>5</v>
      </c>
      <c r="AC3">
        <v>24</v>
      </c>
      <c r="AD3">
        <f t="shared" ref="AD3:AD33" si="8">IF(AC3=24,15,IF(AC3=12,10,0))</f>
        <v>15</v>
      </c>
      <c r="AE3">
        <v>0.3</v>
      </c>
      <c r="AF3">
        <f t="shared" ref="AF3:AF33" si="9">AE3*1.1</f>
        <v>0.33</v>
      </c>
      <c r="AG3">
        <f t="shared" ref="AG3:AG33" si="10">AF3*AC3</f>
        <v>7.92</v>
      </c>
      <c r="AI3">
        <v>1</v>
      </c>
      <c r="AK3">
        <v>2</v>
      </c>
    </row>
    <row r="4" spans="1:39" x14ac:dyDescent="0.3">
      <c r="A4" s="18" t="s">
        <v>3</v>
      </c>
      <c r="B4" s="13" t="s">
        <v>132</v>
      </c>
      <c r="C4" s="13">
        <v>1</v>
      </c>
      <c r="D4" s="13" t="str">
        <f t="shared" ref="D4:D66" si="11">IF(C4=1,"Motor y Transmisión",IF(C4=2,"Refrigeración",IF(C4=3,"Climatización",IF(C4=4,"Sistema de Combustión",IF(C4=5,"Frenos",IF(C4=6,"Mantenimiento y Cuidado",IF(C4=7,"Carrocería","")))))))</f>
        <v>Motor y Transmisión</v>
      </c>
      <c r="E4" s="13">
        <v>1</v>
      </c>
      <c r="F4" s="13">
        <v>2110</v>
      </c>
      <c r="G4" s="13">
        <f t="shared" si="2"/>
        <v>300</v>
      </c>
      <c r="H4" s="13" t="s">
        <v>26</v>
      </c>
      <c r="I4" s="13" t="s">
        <v>171</v>
      </c>
      <c r="J4" s="13">
        <f t="shared" si="0"/>
        <v>2110</v>
      </c>
      <c r="K4" s="13">
        <f t="shared" si="1"/>
        <v>300</v>
      </c>
      <c r="L4" s="16">
        <v>4.78</v>
      </c>
      <c r="M4" s="16">
        <v>0.3</v>
      </c>
      <c r="N4" s="16">
        <v>0</v>
      </c>
      <c r="O4" s="16">
        <v>0.3</v>
      </c>
      <c r="P4" s="16">
        <v>0.3</v>
      </c>
      <c r="Q4" s="16">
        <f t="shared" si="3"/>
        <v>5.68</v>
      </c>
      <c r="R4" s="16">
        <v>12.85</v>
      </c>
      <c r="S4" s="16">
        <f t="shared" si="4"/>
        <v>14.135000000000002</v>
      </c>
      <c r="T4" s="16">
        <v>21.35</v>
      </c>
      <c r="U4" s="16">
        <f t="shared" ref="U4:U33" si="12">R4-Q4</f>
        <v>7.17</v>
      </c>
      <c r="V4" s="16">
        <f t="shared" si="5"/>
        <v>4.3019999999999996</v>
      </c>
      <c r="W4" s="16">
        <f t="shared" si="6"/>
        <v>2.8680000000000003</v>
      </c>
      <c r="Z4">
        <v>1</v>
      </c>
      <c r="AA4">
        <f t="shared" si="7"/>
        <v>8</v>
      </c>
      <c r="AB4">
        <v>5</v>
      </c>
      <c r="AC4">
        <v>24</v>
      </c>
      <c r="AD4">
        <f t="shared" si="8"/>
        <v>15</v>
      </c>
      <c r="AE4">
        <v>0.3</v>
      </c>
      <c r="AF4">
        <f t="shared" si="9"/>
        <v>0.33</v>
      </c>
      <c r="AG4">
        <f t="shared" si="10"/>
        <v>7.92</v>
      </c>
      <c r="AI4">
        <v>2</v>
      </c>
      <c r="AK4">
        <v>2</v>
      </c>
    </row>
    <row r="5" spans="1:39" x14ac:dyDescent="0.3">
      <c r="A5" s="18" t="s">
        <v>3</v>
      </c>
      <c r="B5" s="13" t="s">
        <v>132</v>
      </c>
      <c r="C5" s="13">
        <v>1</v>
      </c>
      <c r="D5" s="13" t="str">
        <f t="shared" si="11"/>
        <v>Motor y Transmisión</v>
      </c>
      <c r="E5" s="13">
        <v>1</v>
      </c>
      <c r="F5" s="13">
        <v>2011</v>
      </c>
      <c r="G5" s="13">
        <f t="shared" si="2"/>
        <v>400</v>
      </c>
      <c r="H5" s="13" t="s">
        <v>28</v>
      </c>
      <c r="I5" s="13" t="s">
        <v>324</v>
      </c>
      <c r="J5" s="13">
        <f t="shared" si="0"/>
        <v>2011</v>
      </c>
      <c r="K5" s="13">
        <f t="shared" si="1"/>
        <v>400</v>
      </c>
      <c r="L5" s="16">
        <v>3.3</v>
      </c>
      <c r="M5" s="16">
        <v>0.3</v>
      </c>
      <c r="N5" s="16">
        <v>0</v>
      </c>
      <c r="O5" s="16">
        <v>0.3</v>
      </c>
      <c r="P5" s="16">
        <v>0.3</v>
      </c>
      <c r="Q5" s="16">
        <f t="shared" si="3"/>
        <v>4.1999999999999993</v>
      </c>
      <c r="R5" s="16">
        <v>9.6999999999999993</v>
      </c>
      <c r="S5" s="16">
        <f t="shared" si="4"/>
        <v>10.67</v>
      </c>
      <c r="T5" s="16">
        <v>14.4</v>
      </c>
      <c r="U5" s="16">
        <f t="shared" si="12"/>
        <v>5.5</v>
      </c>
      <c r="V5" s="16">
        <f t="shared" si="5"/>
        <v>3.3</v>
      </c>
      <c r="W5" s="16">
        <f t="shared" si="6"/>
        <v>2.2000000000000002</v>
      </c>
      <c r="Z5">
        <v>1</v>
      </c>
      <c r="AA5">
        <f t="shared" si="7"/>
        <v>8</v>
      </c>
      <c r="AB5">
        <v>5</v>
      </c>
      <c r="AC5">
        <v>24</v>
      </c>
      <c r="AD5">
        <f t="shared" si="8"/>
        <v>15</v>
      </c>
      <c r="AE5">
        <v>0.4</v>
      </c>
      <c r="AF5">
        <f t="shared" si="9"/>
        <v>0.44000000000000006</v>
      </c>
      <c r="AG5">
        <f t="shared" si="10"/>
        <v>10.560000000000002</v>
      </c>
      <c r="AI5">
        <v>3</v>
      </c>
      <c r="AK5">
        <v>2</v>
      </c>
    </row>
    <row r="6" spans="1:39" x14ac:dyDescent="0.3">
      <c r="A6" s="18" t="s">
        <v>3</v>
      </c>
      <c r="B6" s="13" t="s">
        <v>132</v>
      </c>
      <c r="C6" s="13">
        <v>1</v>
      </c>
      <c r="D6" s="13" t="str">
        <f t="shared" si="11"/>
        <v>Motor y Transmisión</v>
      </c>
      <c r="E6" s="13">
        <v>1</v>
      </c>
      <c r="F6" s="13" t="s">
        <v>74</v>
      </c>
      <c r="G6" s="13">
        <f t="shared" si="2"/>
        <v>300</v>
      </c>
      <c r="H6" s="13" t="s">
        <v>28</v>
      </c>
      <c r="I6" s="13" t="s">
        <v>325</v>
      </c>
      <c r="J6" s="13" t="str">
        <f t="shared" si="0"/>
        <v>2011-300</v>
      </c>
      <c r="K6" s="13">
        <f t="shared" si="1"/>
        <v>300</v>
      </c>
      <c r="L6" s="16">
        <v>2.8</v>
      </c>
      <c r="M6" s="16">
        <v>0.3</v>
      </c>
      <c r="N6" s="16">
        <v>0</v>
      </c>
      <c r="O6" s="16">
        <v>0.3</v>
      </c>
      <c r="P6" s="16">
        <v>0.3</v>
      </c>
      <c r="Q6" s="16">
        <f t="shared" si="3"/>
        <v>3.6999999999999993</v>
      </c>
      <c r="R6" s="16">
        <v>7.5</v>
      </c>
      <c r="S6" s="16">
        <f t="shared" si="4"/>
        <v>8.25</v>
      </c>
      <c r="T6" s="16">
        <v>13.45</v>
      </c>
      <c r="U6" s="16">
        <f t="shared" si="12"/>
        <v>3.8000000000000007</v>
      </c>
      <c r="V6" s="16">
        <f t="shared" si="5"/>
        <v>2.2800000000000002</v>
      </c>
      <c r="W6" s="16">
        <f t="shared" si="6"/>
        <v>1.5200000000000005</v>
      </c>
      <c r="Z6">
        <v>1</v>
      </c>
      <c r="AA6">
        <f t="shared" si="7"/>
        <v>8</v>
      </c>
      <c r="AB6">
        <v>5</v>
      </c>
      <c r="AC6">
        <v>24</v>
      </c>
      <c r="AD6">
        <f t="shared" si="8"/>
        <v>15</v>
      </c>
      <c r="AE6">
        <v>0.3</v>
      </c>
      <c r="AF6">
        <f t="shared" si="9"/>
        <v>0.33</v>
      </c>
      <c r="AG6">
        <f t="shared" si="10"/>
        <v>7.92</v>
      </c>
    </row>
    <row r="7" spans="1:39" x14ac:dyDescent="0.3">
      <c r="A7" s="18" t="s">
        <v>3</v>
      </c>
      <c r="B7" s="13" t="s">
        <v>132</v>
      </c>
      <c r="C7" s="13">
        <v>1</v>
      </c>
      <c r="D7" s="13" t="str">
        <f t="shared" si="11"/>
        <v>Motor y Transmisión</v>
      </c>
      <c r="E7" s="13">
        <v>1</v>
      </c>
      <c r="F7" s="13">
        <v>2111</v>
      </c>
      <c r="G7" s="13">
        <f t="shared" si="2"/>
        <v>300</v>
      </c>
      <c r="H7" s="13" t="s">
        <v>29</v>
      </c>
      <c r="I7" s="13" t="s">
        <v>172</v>
      </c>
      <c r="J7" s="13">
        <f t="shared" si="0"/>
        <v>2111</v>
      </c>
      <c r="K7" s="13">
        <f t="shared" si="1"/>
        <v>300</v>
      </c>
      <c r="L7" s="16">
        <v>3.95</v>
      </c>
      <c r="M7" s="16">
        <v>0.3</v>
      </c>
      <c r="N7" s="16">
        <v>0</v>
      </c>
      <c r="O7" s="16">
        <v>0.3</v>
      </c>
      <c r="P7" s="16">
        <v>0.3</v>
      </c>
      <c r="Q7" s="16">
        <f t="shared" si="3"/>
        <v>4.8499999999999996</v>
      </c>
      <c r="R7" s="16">
        <v>10.050000000000001</v>
      </c>
      <c r="S7" s="16">
        <f t="shared" si="4"/>
        <v>11.055000000000001</v>
      </c>
      <c r="T7" s="16">
        <v>18.100000000000001</v>
      </c>
      <c r="U7" s="16">
        <f t="shared" si="12"/>
        <v>5.2000000000000011</v>
      </c>
      <c r="V7" s="16">
        <f t="shared" si="5"/>
        <v>3.1200000000000006</v>
      </c>
      <c r="W7" s="16">
        <f t="shared" si="6"/>
        <v>2.0800000000000005</v>
      </c>
      <c r="Z7">
        <v>1</v>
      </c>
      <c r="AA7">
        <f t="shared" si="7"/>
        <v>8</v>
      </c>
      <c r="AB7">
        <v>5</v>
      </c>
      <c r="AC7">
        <v>24</v>
      </c>
      <c r="AD7">
        <f t="shared" si="8"/>
        <v>15</v>
      </c>
      <c r="AE7">
        <v>0.3</v>
      </c>
      <c r="AF7">
        <f t="shared" si="9"/>
        <v>0.33</v>
      </c>
      <c r="AG7">
        <f t="shared" si="10"/>
        <v>7.92</v>
      </c>
      <c r="AI7">
        <v>4</v>
      </c>
      <c r="AK7">
        <v>2</v>
      </c>
    </row>
    <row r="8" spans="1:39" x14ac:dyDescent="0.3">
      <c r="A8" s="18" t="s">
        <v>3</v>
      </c>
      <c r="B8" s="13" t="s">
        <v>132</v>
      </c>
      <c r="C8" s="13">
        <v>1</v>
      </c>
      <c r="D8" s="13" t="str">
        <f t="shared" si="11"/>
        <v>Motor y Transmisión</v>
      </c>
      <c r="E8" s="13">
        <v>1</v>
      </c>
      <c r="F8" s="13">
        <v>2012</v>
      </c>
      <c r="G8" s="13">
        <f t="shared" si="2"/>
        <v>100</v>
      </c>
      <c r="H8" s="13" t="s">
        <v>30</v>
      </c>
      <c r="I8" s="13" t="s">
        <v>173</v>
      </c>
      <c r="J8" s="13">
        <f t="shared" si="0"/>
        <v>2012</v>
      </c>
      <c r="K8" s="13">
        <f t="shared" si="1"/>
        <v>100</v>
      </c>
      <c r="L8" s="16">
        <v>3.85</v>
      </c>
      <c r="M8" s="16">
        <v>0.3</v>
      </c>
      <c r="N8" s="16">
        <v>0</v>
      </c>
      <c r="O8" s="16">
        <v>0.3</v>
      </c>
      <c r="P8" s="16">
        <v>0.3</v>
      </c>
      <c r="Q8" s="16">
        <f t="shared" si="3"/>
        <v>4.75</v>
      </c>
      <c r="R8" s="16">
        <v>8.9499999999999993</v>
      </c>
      <c r="S8" s="16">
        <f t="shared" si="4"/>
        <v>9.8450000000000006</v>
      </c>
      <c r="T8" s="16">
        <v>14.8</v>
      </c>
      <c r="U8" s="16">
        <f t="shared" si="12"/>
        <v>4.1999999999999993</v>
      </c>
      <c r="V8" s="16">
        <f t="shared" si="5"/>
        <v>2.5199999999999996</v>
      </c>
      <c r="W8" s="16">
        <f t="shared" si="6"/>
        <v>1.6799999999999997</v>
      </c>
      <c r="Z8">
        <v>1</v>
      </c>
      <c r="AA8">
        <f t="shared" si="7"/>
        <v>8</v>
      </c>
      <c r="AB8">
        <v>5</v>
      </c>
      <c r="AC8">
        <v>24</v>
      </c>
      <c r="AD8">
        <f t="shared" si="8"/>
        <v>15</v>
      </c>
      <c r="AE8">
        <v>0.1</v>
      </c>
      <c r="AF8">
        <f t="shared" si="9"/>
        <v>0.11000000000000001</v>
      </c>
      <c r="AG8">
        <f t="shared" si="10"/>
        <v>2.6400000000000006</v>
      </c>
      <c r="AI8">
        <v>5</v>
      </c>
    </row>
    <row r="9" spans="1:39" x14ac:dyDescent="0.3">
      <c r="A9" s="18" t="s">
        <v>3</v>
      </c>
      <c r="B9" s="13" t="s">
        <v>132</v>
      </c>
      <c r="C9" s="13">
        <v>1</v>
      </c>
      <c r="D9" s="13" t="str">
        <f t="shared" si="11"/>
        <v>Motor y Transmisión</v>
      </c>
      <c r="E9" s="13">
        <v>1</v>
      </c>
      <c r="F9" s="13">
        <v>2013</v>
      </c>
      <c r="G9" s="13">
        <f t="shared" si="2"/>
        <v>300</v>
      </c>
      <c r="H9" s="13" t="s">
        <v>31</v>
      </c>
      <c r="I9" s="13" t="s">
        <v>169</v>
      </c>
      <c r="J9" s="13">
        <f t="shared" si="0"/>
        <v>2013</v>
      </c>
      <c r="K9" s="13">
        <f t="shared" si="1"/>
        <v>300</v>
      </c>
      <c r="L9" s="16">
        <v>3.9</v>
      </c>
      <c r="M9" s="16">
        <v>0.3</v>
      </c>
      <c r="N9" s="16">
        <v>0</v>
      </c>
      <c r="O9" s="16">
        <v>0.3</v>
      </c>
      <c r="P9" s="16">
        <v>0.3</v>
      </c>
      <c r="Q9" s="16">
        <f t="shared" si="3"/>
        <v>4.8</v>
      </c>
      <c r="R9" s="16">
        <v>11.3</v>
      </c>
      <c r="S9" s="16">
        <f t="shared" si="4"/>
        <v>12.430000000000001</v>
      </c>
      <c r="T9" s="16">
        <v>18.100000000000001</v>
      </c>
      <c r="U9" s="16">
        <f t="shared" si="12"/>
        <v>6.5000000000000009</v>
      </c>
      <c r="V9" s="16">
        <f t="shared" si="5"/>
        <v>3.9000000000000004</v>
      </c>
      <c r="W9" s="16">
        <f t="shared" si="6"/>
        <v>2.6000000000000005</v>
      </c>
      <c r="Z9">
        <v>1</v>
      </c>
      <c r="AA9">
        <f t="shared" si="7"/>
        <v>8</v>
      </c>
      <c r="AB9">
        <v>5</v>
      </c>
      <c r="AC9">
        <v>24</v>
      </c>
      <c r="AD9">
        <f t="shared" si="8"/>
        <v>15</v>
      </c>
      <c r="AE9">
        <v>0.3</v>
      </c>
      <c r="AF9">
        <f t="shared" si="9"/>
        <v>0.33</v>
      </c>
      <c r="AG9">
        <f t="shared" si="10"/>
        <v>7.92</v>
      </c>
      <c r="AI9">
        <v>6</v>
      </c>
    </row>
    <row r="10" spans="1:39" x14ac:dyDescent="0.3">
      <c r="A10" s="18" t="s">
        <v>3</v>
      </c>
      <c r="B10" s="13" t="s">
        <v>132</v>
      </c>
      <c r="C10" s="13">
        <v>1</v>
      </c>
      <c r="D10" s="13" t="str">
        <f t="shared" si="11"/>
        <v>Motor y Transmisión</v>
      </c>
      <c r="E10" s="13">
        <v>1</v>
      </c>
      <c r="F10" s="13">
        <v>2014</v>
      </c>
      <c r="G10" s="13">
        <f t="shared" si="2"/>
        <v>300</v>
      </c>
      <c r="H10" s="13" t="s">
        <v>32</v>
      </c>
      <c r="I10" s="13" t="s">
        <v>174</v>
      </c>
      <c r="J10" s="13">
        <f t="shared" si="0"/>
        <v>2014</v>
      </c>
      <c r="K10" s="13">
        <f t="shared" si="1"/>
        <v>300</v>
      </c>
      <c r="L10" s="16">
        <v>4.3</v>
      </c>
      <c r="M10" s="16">
        <v>0.3</v>
      </c>
      <c r="N10" s="16">
        <v>0</v>
      </c>
      <c r="O10" s="16">
        <v>0.3</v>
      </c>
      <c r="P10" s="16">
        <v>0.3</v>
      </c>
      <c r="Q10" s="16">
        <f t="shared" si="3"/>
        <v>5.1999999999999993</v>
      </c>
      <c r="R10" s="16">
        <v>14.5</v>
      </c>
      <c r="S10" s="16">
        <f t="shared" si="4"/>
        <v>15.950000000000001</v>
      </c>
      <c r="T10" s="16">
        <v>23</v>
      </c>
      <c r="U10" s="16">
        <f t="shared" si="12"/>
        <v>9.3000000000000007</v>
      </c>
      <c r="V10" s="16">
        <f t="shared" si="5"/>
        <v>5.58</v>
      </c>
      <c r="W10" s="16">
        <f t="shared" si="6"/>
        <v>3.7200000000000006</v>
      </c>
      <c r="Z10">
        <v>1</v>
      </c>
      <c r="AA10">
        <f t="shared" si="7"/>
        <v>8</v>
      </c>
      <c r="AB10">
        <v>5</v>
      </c>
      <c r="AC10">
        <v>24</v>
      </c>
      <c r="AD10">
        <f t="shared" si="8"/>
        <v>15</v>
      </c>
      <c r="AE10">
        <v>0.3</v>
      </c>
      <c r="AF10">
        <f t="shared" si="9"/>
        <v>0.33</v>
      </c>
      <c r="AG10">
        <f t="shared" si="10"/>
        <v>7.92</v>
      </c>
      <c r="AI10">
        <v>7</v>
      </c>
    </row>
    <row r="11" spans="1:39" x14ac:dyDescent="0.3">
      <c r="A11" s="18" t="s">
        <v>3</v>
      </c>
      <c r="B11" s="13" t="s">
        <v>132</v>
      </c>
      <c r="C11" s="13">
        <v>1</v>
      </c>
      <c r="D11" s="13" t="str">
        <f t="shared" si="11"/>
        <v>Motor y Transmisión</v>
      </c>
      <c r="E11" s="13">
        <v>0</v>
      </c>
      <c r="F11" s="13">
        <v>2015</v>
      </c>
      <c r="G11" s="13">
        <f t="shared" si="2"/>
        <v>300</v>
      </c>
      <c r="H11" s="13" t="s">
        <v>33</v>
      </c>
      <c r="I11" s="13" t="s">
        <v>175</v>
      </c>
      <c r="J11" s="13">
        <f t="shared" si="0"/>
        <v>2015</v>
      </c>
      <c r="K11" s="13">
        <f t="shared" si="1"/>
        <v>300</v>
      </c>
      <c r="L11" s="16">
        <v>3.7</v>
      </c>
      <c r="M11" s="16">
        <v>0.3</v>
      </c>
      <c r="N11" s="16">
        <v>0</v>
      </c>
      <c r="O11" s="16">
        <v>0.3</v>
      </c>
      <c r="P11" s="16">
        <v>0.3</v>
      </c>
      <c r="Q11" s="16">
        <f t="shared" si="3"/>
        <v>4.5999999999999996</v>
      </c>
      <c r="R11" s="16">
        <v>11</v>
      </c>
      <c r="S11" s="16">
        <f t="shared" si="4"/>
        <v>12.100000000000001</v>
      </c>
      <c r="T11" s="16">
        <v>17.7</v>
      </c>
      <c r="U11" s="16">
        <f t="shared" si="12"/>
        <v>6.4</v>
      </c>
      <c r="V11" s="16">
        <f t="shared" si="5"/>
        <v>3.84</v>
      </c>
      <c r="W11" s="16">
        <f t="shared" si="6"/>
        <v>2.5600000000000005</v>
      </c>
      <c r="Z11">
        <v>1</v>
      </c>
      <c r="AA11">
        <f t="shared" si="7"/>
        <v>8</v>
      </c>
      <c r="AB11">
        <v>5</v>
      </c>
      <c r="AC11">
        <v>24</v>
      </c>
      <c r="AD11">
        <f t="shared" si="8"/>
        <v>15</v>
      </c>
      <c r="AE11">
        <v>0.3</v>
      </c>
      <c r="AF11">
        <f t="shared" si="9"/>
        <v>0.33</v>
      </c>
      <c r="AG11">
        <f t="shared" si="10"/>
        <v>7.92</v>
      </c>
      <c r="AI11">
        <v>8</v>
      </c>
    </row>
    <row r="12" spans="1:39" x14ac:dyDescent="0.3">
      <c r="A12" s="18" t="s">
        <v>3</v>
      </c>
      <c r="B12" s="13" t="s">
        <v>132</v>
      </c>
      <c r="C12" s="13">
        <v>1</v>
      </c>
      <c r="D12" s="13" t="str">
        <f t="shared" si="11"/>
        <v>Motor y Transmisión</v>
      </c>
      <c r="E12" s="13">
        <v>0</v>
      </c>
      <c r="F12" s="13">
        <v>2016</v>
      </c>
      <c r="G12" s="13">
        <f t="shared" si="2"/>
        <v>100</v>
      </c>
      <c r="H12" s="13" t="s">
        <v>34</v>
      </c>
      <c r="I12" s="13" t="s">
        <v>176</v>
      </c>
      <c r="J12" s="13">
        <f t="shared" si="0"/>
        <v>2016</v>
      </c>
      <c r="K12" s="13">
        <f t="shared" si="1"/>
        <v>100</v>
      </c>
      <c r="L12" s="16">
        <v>2.85</v>
      </c>
      <c r="M12" s="16">
        <v>0.3</v>
      </c>
      <c r="N12" s="16">
        <v>0</v>
      </c>
      <c r="O12" s="16">
        <v>0.3</v>
      </c>
      <c r="P12" s="16">
        <v>0.3</v>
      </c>
      <c r="Q12" s="16">
        <f t="shared" si="3"/>
        <v>3.7499999999999996</v>
      </c>
      <c r="R12" s="16">
        <v>8.9</v>
      </c>
      <c r="S12" s="16">
        <f t="shared" si="4"/>
        <v>9.7900000000000009</v>
      </c>
      <c r="T12" s="16">
        <v>14.25</v>
      </c>
      <c r="U12" s="16">
        <f t="shared" si="12"/>
        <v>5.15</v>
      </c>
      <c r="V12" s="16">
        <f t="shared" si="5"/>
        <v>3.0900000000000003</v>
      </c>
      <c r="W12" s="16">
        <f t="shared" si="6"/>
        <v>2.06</v>
      </c>
      <c r="Z12">
        <v>1</v>
      </c>
      <c r="AA12">
        <f t="shared" si="7"/>
        <v>8</v>
      </c>
      <c r="AB12">
        <v>5</v>
      </c>
      <c r="AC12">
        <v>24</v>
      </c>
      <c r="AD12">
        <f t="shared" si="8"/>
        <v>15</v>
      </c>
      <c r="AE12">
        <v>0.1</v>
      </c>
      <c r="AF12">
        <f t="shared" si="9"/>
        <v>0.11000000000000001</v>
      </c>
      <c r="AG12">
        <f t="shared" si="10"/>
        <v>2.6400000000000006</v>
      </c>
      <c r="AI12">
        <v>9</v>
      </c>
    </row>
    <row r="13" spans="1:39" x14ac:dyDescent="0.3">
      <c r="A13" s="18" t="s">
        <v>3</v>
      </c>
      <c r="B13" s="13" t="s">
        <v>132</v>
      </c>
      <c r="C13" s="13">
        <v>2</v>
      </c>
      <c r="D13" s="13" t="str">
        <f t="shared" si="11"/>
        <v>Refrigeración</v>
      </c>
      <c r="E13" s="13">
        <v>1</v>
      </c>
      <c r="F13" s="13">
        <v>2020</v>
      </c>
      <c r="G13" s="13">
        <f t="shared" si="2"/>
        <v>300</v>
      </c>
      <c r="H13" s="13" t="s">
        <v>36</v>
      </c>
      <c r="I13" s="13" t="s">
        <v>178</v>
      </c>
      <c r="J13" s="13">
        <f t="shared" si="0"/>
        <v>2020</v>
      </c>
      <c r="K13" s="13">
        <f t="shared" si="1"/>
        <v>300</v>
      </c>
      <c r="L13" s="16">
        <v>3.3</v>
      </c>
      <c r="M13" s="16">
        <v>0.3</v>
      </c>
      <c r="N13" s="16">
        <v>0</v>
      </c>
      <c r="O13" s="16">
        <v>0.3</v>
      </c>
      <c r="P13" s="16">
        <v>0.3</v>
      </c>
      <c r="Q13" s="16">
        <f t="shared" si="3"/>
        <v>4.1999999999999993</v>
      </c>
      <c r="R13" s="16">
        <v>7.7</v>
      </c>
      <c r="S13" s="16">
        <f t="shared" si="4"/>
        <v>8.4700000000000006</v>
      </c>
      <c r="T13" s="16">
        <v>14.65</v>
      </c>
      <c r="U13" s="16">
        <f t="shared" si="12"/>
        <v>3.5000000000000009</v>
      </c>
      <c r="V13" s="16">
        <f t="shared" si="5"/>
        <v>2.1000000000000005</v>
      </c>
      <c r="W13" s="16">
        <f t="shared" si="6"/>
        <v>1.4000000000000004</v>
      </c>
      <c r="Z13">
        <v>1</v>
      </c>
      <c r="AA13">
        <f t="shared" si="7"/>
        <v>8</v>
      </c>
      <c r="AB13">
        <v>5</v>
      </c>
      <c r="AC13">
        <v>24</v>
      </c>
      <c r="AD13">
        <f t="shared" si="8"/>
        <v>15</v>
      </c>
      <c r="AE13">
        <v>0.3</v>
      </c>
      <c r="AF13">
        <f t="shared" si="9"/>
        <v>0.33</v>
      </c>
      <c r="AG13">
        <f t="shared" si="10"/>
        <v>7.92</v>
      </c>
      <c r="AK13">
        <v>2</v>
      </c>
    </row>
    <row r="14" spans="1:39" x14ac:dyDescent="0.3">
      <c r="A14" s="18" t="s">
        <v>3</v>
      </c>
      <c r="B14" s="13" t="s">
        <v>132</v>
      </c>
      <c r="C14" s="13">
        <v>2</v>
      </c>
      <c r="D14" s="13" t="str">
        <f t="shared" si="11"/>
        <v>Refrigeración</v>
      </c>
      <c r="E14" s="13">
        <v>1</v>
      </c>
      <c r="F14" s="13">
        <v>2021</v>
      </c>
      <c r="G14" s="13">
        <f t="shared" si="2"/>
        <v>400</v>
      </c>
      <c r="H14" s="13" t="s">
        <v>37</v>
      </c>
      <c r="I14" s="13" t="s">
        <v>179</v>
      </c>
      <c r="J14" s="13">
        <f t="shared" si="0"/>
        <v>2021</v>
      </c>
      <c r="K14" s="13">
        <f t="shared" si="1"/>
        <v>400</v>
      </c>
      <c r="L14" s="16">
        <v>3</v>
      </c>
      <c r="M14" s="16">
        <v>0.3</v>
      </c>
      <c r="N14" s="16">
        <v>0</v>
      </c>
      <c r="O14" s="16">
        <v>0.3</v>
      </c>
      <c r="P14" s="16">
        <v>0.3</v>
      </c>
      <c r="Q14" s="16">
        <f t="shared" si="3"/>
        <v>3.8999999999999995</v>
      </c>
      <c r="R14" s="16">
        <v>7.25</v>
      </c>
      <c r="S14" s="16">
        <f t="shared" si="4"/>
        <v>7.9750000000000005</v>
      </c>
      <c r="T14" s="16">
        <v>13.15</v>
      </c>
      <c r="U14" s="16">
        <f t="shared" si="12"/>
        <v>3.3500000000000005</v>
      </c>
      <c r="V14" s="16">
        <f t="shared" si="5"/>
        <v>2.0100000000000002</v>
      </c>
      <c r="W14" s="16">
        <f t="shared" si="6"/>
        <v>1.3400000000000003</v>
      </c>
      <c r="Z14">
        <v>1</v>
      </c>
      <c r="AA14">
        <f t="shared" si="7"/>
        <v>8</v>
      </c>
      <c r="AB14">
        <v>5</v>
      </c>
      <c r="AC14">
        <v>24</v>
      </c>
      <c r="AD14">
        <f t="shared" si="8"/>
        <v>15</v>
      </c>
      <c r="AE14">
        <v>0.4</v>
      </c>
      <c r="AF14">
        <f t="shared" si="9"/>
        <v>0.44000000000000006</v>
      </c>
      <c r="AG14">
        <f t="shared" si="10"/>
        <v>10.560000000000002</v>
      </c>
      <c r="AK14">
        <v>2</v>
      </c>
    </row>
    <row r="15" spans="1:39" x14ac:dyDescent="0.3">
      <c r="A15" s="18" t="s">
        <v>3</v>
      </c>
      <c r="B15" s="13" t="s">
        <v>132</v>
      </c>
      <c r="C15" s="13">
        <v>2</v>
      </c>
      <c r="D15" s="13" t="str">
        <f t="shared" si="11"/>
        <v>Refrigeración</v>
      </c>
      <c r="E15" s="13">
        <v>1</v>
      </c>
      <c r="F15" s="13">
        <v>2023</v>
      </c>
      <c r="G15" s="13">
        <f t="shared" si="2"/>
        <v>400</v>
      </c>
      <c r="H15" s="13" t="s">
        <v>38</v>
      </c>
      <c r="I15" s="13" t="s">
        <v>180</v>
      </c>
      <c r="J15" s="13">
        <f t="shared" si="0"/>
        <v>2023</v>
      </c>
      <c r="K15" s="13">
        <f t="shared" si="1"/>
        <v>400</v>
      </c>
      <c r="L15" s="16">
        <v>2.75</v>
      </c>
      <c r="M15" s="16">
        <v>0.3</v>
      </c>
      <c r="N15" s="16">
        <v>0</v>
      </c>
      <c r="O15" s="16">
        <v>0.3</v>
      </c>
      <c r="P15" s="16">
        <v>0.3</v>
      </c>
      <c r="Q15" s="16">
        <f t="shared" si="3"/>
        <v>3.6499999999999995</v>
      </c>
      <c r="R15" s="16">
        <v>7.45</v>
      </c>
      <c r="S15" s="16">
        <f t="shared" si="4"/>
        <v>8.1950000000000003</v>
      </c>
      <c r="T15" s="16">
        <v>14.15</v>
      </c>
      <c r="U15" s="16">
        <f t="shared" si="12"/>
        <v>3.8000000000000007</v>
      </c>
      <c r="V15" s="16">
        <f t="shared" si="5"/>
        <v>2.2800000000000002</v>
      </c>
      <c r="W15" s="16">
        <f t="shared" si="6"/>
        <v>1.5200000000000005</v>
      </c>
      <c r="Z15">
        <v>1</v>
      </c>
      <c r="AA15">
        <f t="shared" si="7"/>
        <v>8</v>
      </c>
      <c r="AB15">
        <v>5</v>
      </c>
      <c r="AC15">
        <v>24</v>
      </c>
      <c r="AD15">
        <f t="shared" si="8"/>
        <v>15</v>
      </c>
      <c r="AE15">
        <v>0.4</v>
      </c>
      <c r="AF15">
        <f t="shared" si="9"/>
        <v>0.44000000000000006</v>
      </c>
      <c r="AG15">
        <f t="shared" si="10"/>
        <v>10.560000000000002</v>
      </c>
      <c r="AK15">
        <v>2</v>
      </c>
    </row>
    <row r="16" spans="1:39" x14ac:dyDescent="0.3">
      <c r="A16" s="18" t="s">
        <v>3</v>
      </c>
      <c r="B16" s="13" t="s">
        <v>132</v>
      </c>
      <c r="C16" s="13">
        <v>2</v>
      </c>
      <c r="D16" s="13" t="str">
        <f t="shared" si="11"/>
        <v>Refrigeración</v>
      </c>
      <c r="E16" s="13">
        <v>1</v>
      </c>
      <c r="F16" s="13">
        <v>2123</v>
      </c>
      <c r="G16" s="13">
        <f t="shared" si="2"/>
        <v>500</v>
      </c>
      <c r="H16" s="13" t="s">
        <v>45</v>
      </c>
      <c r="I16" s="13" t="s">
        <v>181</v>
      </c>
      <c r="J16" s="13">
        <f t="shared" si="0"/>
        <v>2123</v>
      </c>
      <c r="K16" s="13">
        <f t="shared" si="1"/>
        <v>500</v>
      </c>
      <c r="L16" s="16">
        <v>4.9000000000000004</v>
      </c>
      <c r="M16" s="16">
        <v>0.3</v>
      </c>
      <c r="N16" s="16">
        <v>0</v>
      </c>
      <c r="O16" s="16">
        <v>0.3</v>
      </c>
      <c r="P16" s="16">
        <v>0.3</v>
      </c>
      <c r="Q16" s="16">
        <f t="shared" si="3"/>
        <v>5.8</v>
      </c>
      <c r="R16" s="20">
        <v>12</v>
      </c>
      <c r="S16" s="20">
        <f t="shared" si="4"/>
        <v>13.200000000000001</v>
      </c>
      <c r="T16" s="20"/>
      <c r="U16" s="16">
        <f t="shared" si="12"/>
        <v>6.2</v>
      </c>
      <c r="V16" s="16">
        <f t="shared" si="5"/>
        <v>3.7199999999999998</v>
      </c>
      <c r="W16" s="16">
        <f t="shared" si="6"/>
        <v>2.4800000000000004</v>
      </c>
      <c r="Z16">
        <v>1</v>
      </c>
      <c r="AA16">
        <f t="shared" si="7"/>
        <v>4</v>
      </c>
      <c r="AB16">
        <v>5</v>
      </c>
      <c r="AC16">
        <v>12</v>
      </c>
      <c r="AD16">
        <f t="shared" si="8"/>
        <v>10</v>
      </c>
      <c r="AE16">
        <v>0.5</v>
      </c>
      <c r="AF16">
        <f t="shared" si="9"/>
        <v>0.55000000000000004</v>
      </c>
      <c r="AG16">
        <f t="shared" si="10"/>
        <v>6.6000000000000005</v>
      </c>
    </row>
    <row r="17" spans="1:52" x14ac:dyDescent="0.3">
      <c r="A17" s="18" t="s">
        <v>3</v>
      </c>
      <c r="B17" s="13" t="s">
        <v>132</v>
      </c>
      <c r="C17" s="13">
        <v>3</v>
      </c>
      <c r="D17" s="13" t="str">
        <f t="shared" si="11"/>
        <v>Climatización</v>
      </c>
      <c r="E17" s="13">
        <v>0</v>
      </c>
      <c r="F17" s="13" t="s">
        <v>76</v>
      </c>
      <c r="G17" s="13">
        <f t="shared" si="2"/>
        <v>1000</v>
      </c>
      <c r="H17" s="13" t="s">
        <v>42</v>
      </c>
      <c r="I17" s="13" t="s">
        <v>182</v>
      </c>
      <c r="J17" s="13" t="str">
        <f t="shared" si="0"/>
        <v>2024-1000</v>
      </c>
      <c r="K17" s="13">
        <f t="shared" si="1"/>
        <v>1000</v>
      </c>
      <c r="L17" s="16">
        <v>5.5</v>
      </c>
      <c r="M17" s="16">
        <v>0.3</v>
      </c>
      <c r="N17" s="16">
        <v>0</v>
      </c>
      <c r="O17" s="16">
        <v>0.3</v>
      </c>
      <c r="P17" s="16">
        <v>0.3</v>
      </c>
      <c r="Q17" s="16">
        <f t="shared" si="3"/>
        <v>6.3999999999999995</v>
      </c>
      <c r="R17" s="16">
        <v>13.7</v>
      </c>
      <c r="S17" s="16">
        <f t="shared" si="4"/>
        <v>15.07</v>
      </c>
      <c r="U17" s="16">
        <f t="shared" si="12"/>
        <v>7.3</v>
      </c>
      <c r="V17" s="16">
        <f t="shared" si="5"/>
        <v>4.38</v>
      </c>
      <c r="W17" s="16">
        <f t="shared" si="6"/>
        <v>2.92</v>
      </c>
      <c r="Z17">
        <v>1</v>
      </c>
      <c r="AA17">
        <f t="shared" si="7"/>
        <v>4</v>
      </c>
      <c r="AB17">
        <v>5</v>
      </c>
      <c r="AC17">
        <v>12</v>
      </c>
      <c r="AD17">
        <f t="shared" si="8"/>
        <v>10</v>
      </c>
      <c r="AE17">
        <v>1</v>
      </c>
      <c r="AF17">
        <f t="shared" si="9"/>
        <v>1.1000000000000001</v>
      </c>
      <c r="AG17">
        <f t="shared" si="10"/>
        <v>13.200000000000001</v>
      </c>
      <c r="AK17" t="s">
        <v>43</v>
      </c>
    </row>
    <row r="18" spans="1:52" x14ac:dyDescent="0.3">
      <c r="A18" s="18" t="s">
        <v>3</v>
      </c>
      <c r="B18" s="13" t="s">
        <v>132</v>
      </c>
      <c r="C18" s="13">
        <v>3</v>
      </c>
      <c r="D18" s="13" t="str">
        <f t="shared" si="11"/>
        <v>Climatización</v>
      </c>
      <c r="E18" s="13">
        <v>1</v>
      </c>
      <c r="F18">
        <v>2025</v>
      </c>
      <c r="G18" s="13">
        <f t="shared" si="2"/>
        <v>100</v>
      </c>
      <c r="H18" s="13" t="s">
        <v>44</v>
      </c>
      <c r="I18" s="13" t="s">
        <v>44</v>
      </c>
      <c r="J18" s="13">
        <f t="shared" si="0"/>
        <v>2025</v>
      </c>
      <c r="K18" s="13">
        <f t="shared" si="1"/>
        <v>100</v>
      </c>
      <c r="L18" s="16">
        <v>3.35</v>
      </c>
      <c r="M18" s="16">
        <v>0.3</v>
      </c>
      <c r="N18" s="16">
        <v>0</v>
      </c>
      <c r="O18" s="16">
        <v>0.3</v>
      </c>
      <c r="P18" s="16">
        <v>0.3</v>
      </c>
      <c r="Q18" s="16">
        <f t="shared" si="3"/>
        <v>4.25</v>
      </c>
      <c r="R18" s="16">
        <v>9.25</v>
      </c>
      <c r="S18" s="16">
        <f t="shared" si="4"/>
        <v>10.175000000000001</v>
      </c>
      <c r="T18" s="16">
        <v>15.2</v>
      </c>
      <c r="U18" s="16">
        <f t="shared" si="12"/>
        <v>5</v>
      </c>
      <c r="V18" s="16">
        <f t="shared" si="5"/>
        <v>3</v>
      </c>
      <c r="W18" s="16">
        <f t="shared" si="6"/>
        <v>2</v>
      </c>
      <c r="Z18">
        <v>1</v>
      </c>
      <c r="AA18">
        <f t="shared" si="7"/>
        <v>8</v>
      </c>
      <c r="AB18">
        <v>5</v>
      </c>
      <c r="AC18">
        <v>24</v>
      </c>
      <c r="AD18">
        <f t="shared" si="8"/>
        <v>15</v>
      </c>
      <c r="AE18">
        <v>0.1</v>
      </c>
      <c r="AF18">
        <f t="shared" si="9"/>
        <v>0.11000000000000001</v>
      </c>
      <c r="AG18">
        <f t="shared" si="10"/>
        <v>2.6400000000000006</v>
      </c>
      <c r="AK18">
        <v>1</v>
      </c>
    </row>
    <row r="19" spans="1:52" x14ac:dyDescent="0.3">
      <c r="A19" s="18" t="s">
        <v>3</v>
      </c>
      <c r="B19" s="13" t="s">
        <v>132</v>
      </c>
      <c r="C19" s="13">
        <v>3</v>
      </c>
      <c r="D19" s="13" t="str">
        <f t="shared" si="11"/>
        <v>Climatización</v>
      </c>
      <c r="E19" s="13">
        <v>0</v>
      </c>
      <c r="F19" s="13">
        <v>2125</v>
      </c>
      <c r="G19" s="13">
        <f t="shared" si="2"/>
        <v>100</v>
      </c>
      <c r="H19" s="13" t="s">
        <v>77</v>
      </c>
      <c r="I19" s="13" t="s">
        <v>183</v>
      </c>
      <c r="J19" s="13">
        <f t="shared" si="0"/>
        <v>2125</v>
      </c>
      <c r="K19" s="13">
        <f t="shared" si="1"/>
        <v>100</v>
      </c>
      <c r="L19" s="16">
        <v>3.35</v>
      </c>
      <c r="M19" s="16">
        <v>0.3</v>
      </c>
      <c r="N19" s="16">
        <v>0</v>
      </c>
      <c r="O19" s="16">
        <v>0.3</v>
      </c>
      <c r="P19" s="16">
        <v>0.3</v>
      </c>
      <c r="Q19" s="16">
        <f t="shared" si="3"/>
        <v>4.25</v>
      </c>
      <c r="R19" s="16">
        <v>9.25</v>
      </c>
      <c r="S19" s="16">
        <f t="shared" si="4"/>
        <v>10.175000000000001</v>
      </c>
      <c r="T19" s="16">
        <v>15.2</v>
      </c>
      <c r="U19" s="16">
        <f t="shared" si="12"/>
        <v>5</v>
      </c>
      <c r="V19" s="16">
        <f t="shared" si="5"/>
        <v>3</v>
      </c>
      <c r="W19" s="16">
        <f t="shared" si="6"/>
        <v>2</v>
      </c>
      <c r="Z19">
        <v>1</v>
      </c>
      <c r="AA19">
        <f t="shared" si="7"/>
        <v>8</v>
      </c>
      <c r="AB19">
        <v>5</v>
      </c>
      <c r="AC19">
        <v>24</v>
      </c>
      <c r="AD19">
        <f t="shared" si="8"/>
        <v>15</v>
      </c>
      <c r="AE19">
        <v>0.1</v>
      </c>
      <c r="AF19">
        <f t="shared" si="9"/>
        <v>0.11000000000000001</v>
      </c>
      <c r="AG19">
        <f t="shared" si="10"/>
        <v>2.6400000000000006</v>
      </c>
      <c r="AK19">
        <v>1</v>
      </c>
    </row>
    <row r="20" spans="1:52" x14ac:dyDescent="0.3">
      <c r="A20" s="18" t="s">
        <v>3</v>
      </c>
      <c r="B20" s="13" t="s">
        <v>132</v>
      </c>
      <c r="C20" s="13">
        <v>3</v>
      </c>
      <c r="D20" s="13" t="str">
        <f t="shared" si="11"/>
        <v>Climatización</v>
      </c>
      <c r="E20" s="13">
        <v>0</v>
      </c>
      <c r="F20" s="13">
        <v>2127</v>
      </c>
      <c r="G20" s="13">
        <v>75</v>
      </c>
      <c r="H20" s="13" t="s">
        <v>326</v>
      </c>
      <c r="I20" s="13" t="s">
        <v>187</v>
      </c>
      <c r="J20" s="13">
        <f t="shared" si="0"/>
        <v>2127</v>
      </c>
      <c r="K20" s="13">
        <f t="shared" si="1"/>
        <v>75</v>
      </c>
      <c r="L20" s="16">
        <v>3.35</v>
      </c>
      <c r="M20" s="16">
        <v>0.3</v>
      </c>
      <c r="N20" s="16">
        <v>0</v>
      </c>
      <c r="O20" s="16">
        <v>0.3</v>
      </c>
      <c r="P20" s="16">
        <v>0.3</v>
      </c>
      <c r="Q20" s="16">
        <f t="shared" si="3"/>
        <v>4.25</v>
      </c>
      <c r="R20" s="16">
        <v>9.25</v>
      </c>
      <c r="S20" s="16">
        <f t="shared" si="4"/>
        <v>10.175000000000001</v>
      </c>
      <c r="T20" s="16">
        <v>15.2</v>
      </c>
      <c r="U20" s="16">
        <f t="shared" si="12"/>
        <v>5</v>
      </c>
      <c r="V20" s="16">
        <f t="shared" si="5"/>
        <v>3</v>
      </c>
      <c r="W20" s="16">
        <f t="shared" si="6"/>
        <v>2</v>
      </c>
      <c r="Z20">
        <v>1</v>
      </c>
      <c r="AA20">
        <f t="shared" si="7"/>
        <v>8</v>
      </c>
      <c r="AB20">
        <v>5</v>
      </c>
      <c r="AC20">
        <v>24</v>
      </c>
      <c r="AD20">
        <f t="shared" si="8"/>
        <v>15</v>
      </c>
      <c r="AE20">
        <v>0.1</v>
      </c>
      <c r="AF20">
        <f t="shared" si="9"/>
        <v>0.11000000000000001</v>
      </c>
      <c r="AG20">
        <f t="shared" si="10"/>
        <v>2.6400000000000006</v>
      </c>
      <c r="AK20">
        <v>1</v>
      </c>
    </row>
    <row r="21" spans="1:52" x14ac:dyDescent="0.3">
      <c r="A21" s="18" t="s">
        <v>3</v>
      </c>
      <c r="B21" s="13" t="s">
        <v>132</v>
      </c>
      <c r="C21" s="13">
        <v>3</v>
      </c>
      <c r="D21" s="13" t="str">
        <f t="shared" si="11"/>
        <v>Climatización</v>
      </c>
      <c r="E21" s="13">
        <v>1</v>
      </c>
      <c r="F21" s="13">
        <v>7020100</v>
      </c>
      <c r="G21" s="13">
        <f t="shared" ref="G21:G50" si="13">AE21*1000</f>
        <v>100</v>
      </c>
      <c r="H21" s="13" t="s">
        <v>53</v>
      </c>
      <c r="I21" s="13" t="s">
        <v>188</v>
      </c>
      <c r="J21" s="13">
        <f t="shared" si="0"/>
        <v>7020100</v>
      </c>
      <c r="K21" s="13">
        <f t="shared" si="1"/>
        <v>100</v>
      </c>
      <c r="L21" s="16">
        <v>6.8</v>
      </c>
      <c r="M21" s="16">
        <v>0.3</v>
      </c>
      <c r="N21" s="16">
        <v>0</v>
      </c>
      <c r="O21" s="16">
        <v>0.3</v>
      </c>
      <c r="P21" s="16">
        <v>0.3</v>
      </c>
      <c r="Q21" s="16">
        <f t="shared" si="3"/>
        <v>7.6999999999999993</v>
      </c>
      <c r="R21" s="16">
        <v>21.2</v>
      </c>
      <c r="S21" s="16">
        <f t="shared" si="4"/>
        <v>23.32</v>
      </c>
      <c r="T21" s="16">
        <v>33.700000000000003</v>
      </c>
      <c r="U21" s="16">
        <f t="shared" si="12"/>
        <v>13.5</v>
      </c>
      <c r="V21" s="16">
        <f t="shared" si="5"/>
        <v>8.1</v>
      </c>
      <c r="W21" s="16">
        <f t="shared" si="6"/>
        <v>5.4</v>
      </c>
      <c r="Z21">
        <v>1</v>
      </c>
      <c r="AA21">
        <f t="shared" si="7"/>
        <v>8</v>
      </c>
      <c r="AB21">
        <v>5</v>
      </c>
      <c r="AC21">
        <v>24</v>
      </c>
      <c r="AD21">
        <f t="shared" si="8"/>
        <v>15</v>
      </c>
      <c r="AE21">
        <v>0.1</v>
      </c>
      <c r="AF21">
        <f t="shared" si="9"/>
        <v>0.11000000000000001</v>
      </c>
      <c r="AG21">
        <f t="shared" si="10"/>
        <v>2.6400000000000006</v>
      </c>
      <c r="AJ21">
        <v>1</v>
      </c>
    </row>
    <row r="22" spans="1:52" x14ac:dyDescent="0.3">
      <c r="A22" s="18" t="s">
        <v>3</v>
      </c>
      <c r="B22" s="13" t="s">
        <v>132</v>
      </c>
      <c r="C22" s="13">
        <v>3</v>
      </c>
      <c r="D22" s="13" t="str">
        <f t="shared" si="11"/>
        <v>Climatización</v>
      </c>
      <c r="E22" s="13">
        <v>1</v>
      </c>
      <c r="F22" s="13">
        <v>1711</v>
      </c>
      <c r="G22" s="13">
        <f t="shared" si="13"/>
        <v>100</v>
      </c>
      <c r="H22" s="13" t="s">
        <v>52</v>
      </c>
      <c r="I22" s="13" t="s">
        <v>316</v>
      </c>
      <c r="J22" s="13">
        <f t="shared" si="0"/>
        <v>1711</v>
      </c>
      <c r="K22" s="13">
        <f t="shared" si="1"/>
        <v>100</v>
      </c>
      <c r="L22" s="16">
        <v>2.5</v>
      </c>
      <c r="M22" s="16">
        <v>0.3</v>
      </c>
      <c r="N22" s="16">
        <v>0</v>
      </c>
      <c r="O22" s="16">
        <v>0.3</v>
      </c>
      <c r="P22" s="16">
        <v>0.3</v>
      </c>
      <c r="Q22" s="16">
        <f t="shared" si="3"/>
        <v>3.3999999999999995</v>
      </c>
      <c r="R22" s="20">
        <v>7</v>
      </c>
      <c r="S22" s="20">
        <f t="shared" si="4"/>
        <v>7.7000000000000011</v>
      </c>
      <c r="T22" s="20"/>
      <c r="U22" s="16">
        <f t="shared" si="12"/>
        <v>3.6000000000000005</v>
      </c>
      <c r="V22" s="16">
        <f t="shared" si="5"/>
        <v>2.16</v>
      </c>
      <c r="W22" s="16">
        <f t="shared" si="6"/>
        <v>1.4400000000000004</v>
      </c>
      <c r="Z22">
        <v>1</v>
      </c>
      <c r="AA22">
        <f t="shared" si="7"/>
        <v>0</v>
      </c>
      <c r="AB22">
        <v>5</v>
      </c>
      <c r="AC22">
        <v>1</v>
      </c>
      <c r="AD22">
        <f t="shared" si="8"/>
        <v>0</v>
      </c>
      <c r="AE22">
        <v>0.1</v>
      </c>
      <c r="AF22">
        <f t="shared" si="9"/>
        <v>0.11000000000000001</v>
      </c>
      <c r="AG22">
        <f t="shared" si="10"/>
        <v>0.11000000000000001</v>
      </c>
      <c r="AK22">
        <v>1</v>
      </c>
    </row>
    <row r="23" spans="1:52" x14ac:dyDescent="0.3">
      <c r="A23" s="18" t="s">
        <v>3</v>
      </c>
      <c r="B23" s="13" t="s">
        <v>132</v>
      </c>
      <c r="C23" s="13">
        <v>3</v>
      </c>
      <c r="D23" s="13" t="str">
        <f t="shared" si="11"/>
        <v>Climatización</v>
      </c>
      <c r="E23" s="13">
        <v>1</v>
      </c>
      <c r="F23" s="13">
        <v>7021100</v>
      </c>
      <c r="G23" s="13">
        <f t="shared" si="13"/>
        <v>100</v>
      </c>
      <c r="H23" s="13" t="s">
        <v>56</v>
      </c>
      <c r="I23" s="13" t="s">
        <v>318</v>
      </c>
      <c r="J23" s="13">
        <f t="shared" si="0"/>
        <v>7021100</v>
      </c>
      <c r="K23" s="13">
        <f t="shared" si="1"/>
        <v>100</v>
      </c>
      <c r="L23" s="16">
        <v>15.5</v>
      </c>
      <c r="M23" s="16">
        <v>0.3</v>
      </c>
      <c r="N23" s="16">
        <v>0</v>
      </c>
      <c r="O23" s="16">
        <v>0.3</v>
      </c>
      <c r="P23" s="16">
        <v>0.3</v>
      </c>
      <c r="Q23" s="16">
        <f t="shared" si="3"/>
        <v>16.400000000000002</v>
      </c>
      <c r="R23" s="16">
        <v>44.7</v>
      </c>
      <c r="S23" s="16">
        <f t="shared" si="4"/>
        <v>49.170000000000009</v>
      </c>
      <c r="T23" s="16">
        <v>71.7</v>
      </c>
      <c r="U23" s="16">
        <f t="shared" si="12"/>
        <v>28.3</v>
      </c>
      <c r="V23" s="16">
        <f t="shared" si="5"/>
        <v>16.98</v>
      </c>
      <c r="W23" s="16">
        <f t="shared" si="6"/>
        <v>11.32</v>
      </c>
      <c r="Z23">
        <v>1</v>
      </c>
      <c r="AA23">
        <f t="shared" si="7"/>
        <v>8</v>
      </c>
      <c r="AB23">
        <v>5</v>
      </c>
      <c r="AC23">
        <v>24</v>
      </c>
      <c r="AD23">
        <f t="shared" si="8"/>
        <v>15</v>
      </c>
      <c r="AE23">
        <v>0.1</v>
      </c>
      <c r="AF23">
        <f t="shared" si="9"/>
        <v>0.11000000000000001</v>
      </c>
      <c r="AG23">
        <f t="shared" si="10"/>
        <v>2.6400000000000006</v>
      </c>
      <c r="AJ23">
        <v>6</v>
      </c>
    </row>
    <row r="24" spans="1:52" ht="14.25" customHeight="1" x14ac:dyDescent="0.3">
      <c r="A24" s="18" t="s">
        <v>3</v>
      </c>
      <c r="B24" s="13" t="s">
        <v>132</v>
      </c>
      <c r="C24" s="13">
        <v>3</v>
      </c>
      <c r="D24" s="13" t="str">
        <f t="shared" si="11"/>
        <v>Climatización</v>
      </c>
      <c r="E24" s="13">
        <v>1</v>
      </c>
      <c r="F24" s="13">
        <v>7050250</v>
      </c>
      <c r="G24" s="13">
        <f t="shared" si="13"/>
        <v>250</v>
      </c>
      <c r="H24" s="13" t="s">
        <v>196</v>
      </c>
      <c r="I24" s="13" t="s">
        <v>287</v>
      </c>
      <c r="J24" s="13">
        <f t="shared" si="0"/>
        <v>7050250</v>
      </c>
      <c r="K24" s="13">
        <f t="shared" si="1"/>
        <v>250</v>
      </c>
      <c r="L24" s="16">
        <v>12.9</v>
      </c>
      <c r="M24" s="16">
        <v>0.3</v>
      </c>
      <c r="N24" s="16">
        <v>0</v>
      </c>
      <c r="O24" s="16">
        <v>0.3</v>
      </c>
      <c r="P24" s="16">
        <v>0.3</v>
      </c>
      <c r="Q24" s="16">
        <f t="shared" si="3"/>
        <v>13.800000000000002</v>
      </c>
      <c r="R24" s="16">
        <v>30.7</v>
      </c>
      <c r="S24" s="16">
        <f t="shared" si="4"/>
        <v>33.770000000000003</v>
      </c>
      <c r="T24" s="16">
        <v>47.1</v>
      </c>
      <c r="U24" s="16">
        <f t="shared" si="12"/>
        <v>16.899999999999999</v>
      </c>
      <c r="V24" s="16">
        <f t="shared" si="5"/>
        <v>10.139999999999999</v>
      </c>
      <c r="W24" s="16">
        <f t="shared" si="6"/>
        <v>6.76</v>
      </c>
      <c r="Z24">
        <v>1</v>
      </c>
      <c r="AA24">
        <f t="shared" si="7"/>
        <v>8</v>
      </c>
      <c r="AB24">
        <v>5</v>
      </c>
      <c r="AC24">
        <v>24</v>
      </c>
      <c r="AD24">
        <f t="shared" si="8"/>
        <v>15</v>
      </c>
      <c r="AE24">
        <v>0.25</v>
      </c>
      <c r="AF24">
        <f t="shared" si="9"/>
        <v>0.27500000000000002</v>
      </c>
      <c r="AG24">
        <f t="shared" si="10"/>
        <v>6.6000000000000005</v>
      </c>
      <c r="AJ24">
        <v>6</v>
      </c>
    </row>
    <row r="25" spans="1:52" x14ac:dyDescent="0.3">
      <c r="A25" s="18" t="s">
        <v>3</v>
      </c>
      <c r="B25" s="13" t="s">
        <v>132</v>
      </c>
      <c r="C25" s="13">
        <v>3</v>
      </c>
      <c r="D25" s="13" t="str">
        <f t="shared" si="11"/>
        <v>Climatización</v>
      </c>
      <c r="E25" s="13">
        <v>1</v>
      </c>
      <c r="F25" s="13">
        <v>7050001</v>
      </c>
      <c r="G25" s="13">
        <f t="shared" si="13"/>
        <v>1000</v>
      </c>
      <c r="H25" s="13" t="s">
        <v>196</v>
      </c>
      <c r="I25" s="13" t="s">
        <v>288</v>
      </c>
      <c r="J25" s="13">
        <f t="shared" si="0"/>
        <v>7050001</v>
      </c>
      <c r="K25" s="13">
        <f t="shared" si="1"/>
        <v>1000</v>
      </c>
      <c r="L25" s="16">
        <v>49</v>
      </c>
      <c r="M25" s="16">
        <v>0.3</v>
      </c>
      <c r="N25" s="16">
        <v>0</v>
      </c>
      <c r="O25" s="16">
        <v>0.3</v>
      </c>
      <c r="P25" s="16">
        <v>0.3</v>
      </c>
      <c r="Q25" s="16">
        <f t="shared" si="3"/>
        <v>49.899999999999991</v>
      </c>
      <c r="R25" s="16">
        <v>130.1</v>
      </c>
      <c r="S25" s="16">
        <f t="shared" si="4"/>
        <v>143.11000000000001</v>
      </c>
      <c r="U25" s="16">
        <f t="shared" si="12"/>
        <v>80.2</v>
      </c>
      <c r="V25" s="16">
        <f t="shared" si="5"/>
        <v>48.12</v>
      </c>
      <c r="W25" s="16">
        <f t="shared" si="6"/>
        <v>32.080000000000005</v>
      </c>
      <c r="Z25">
        <v>1</v>
      </c>
      <c r="AA25">
        <f t="shared" si="7"/>
        <v>4</v>
      </c>
      <c r="AB25">
        <v>5</v>
      </c>
      <c r="AC25">
        <v>12</v>
      </c>
      <c r="AD25">
        <f t="shared" si="8"/>
        <v>10</v>
      </c>
      <c r="AE25">
        <v>1</v>
      </c>
      <c r="AF25">
        <f t="shared" si="9"/>
        <v>1.1000000000000001</v>
      </c>
      <c r="AG25">
        <f t="shared" si="10"/>
        <v>13.200000000000001</v>
      </c>
      <c r="AJ25">
        <v>6</v>
      </c>
    </row>
    <row r="26" spans="1:52" x14ac:dyDescent="0.3">
      <c r="A26" s="19" t="s">
        <v>3</v>
      </c>
      <c r="B26" s="19" t="s">
        <v>132</v>
      </c>
      <c r="C26" s="19">
        <v>3</v>
      </c>
      <c r="D26" s="13" t="str">
        <f t="shared" si="11"/>
        <v>Climatización</v>
      </c>
      <c r="E26" s="19">
        <v>1</v>
      </c>
      <c r="F26" s="19">
        <v>7034001</v>
      </c>
      <c r="G26" s="19">
        <f t="shared" si="13"/>
        <v>1000</v>
      </c>
      <c r="H26" s="19" t="s">
        <v>57</v>
      </c>
      <c r="I26" s="19" t="s">
        <v>327</v>
      </c>
      <c r="J26" s="13">
        <f t="shared" si="0"/>
        <v>7034001</v>
      </c>
      <c r="K26" s="13">
        <f t="shared" si="1"/>
        <v>1000</v>
      </c>
      <c r="L26" s="20">
        <v>13.25</v>
      </c>
      <c r="M26" s="16">
        <v>0.3</v>
      </c>
      <c r="N26" s="16">
        <v>0</v>
      </c>
      <c r="O26" s="16">
        <v>0.3</v>
      </c>
      <c r="P26" s="16">
        <v>0.3</v>
      </c>
      <c r="Q26" s="16">
        <f t="shared" si="3"/>
        <v>14.150000000000002</v>
      </c>
      <c r="R26" s="20">
        <v>32</v>
      </c>
      <c r="S26" s="16">
        <f t="shared" si="4"/>
        <v>35.200000000000003</v>
      </c>
      <c r="T26" s="20"/>
      <c r="U26" s="16">
        <f t="shared" si="12"/>
        <v>17.849999999999998</v>
      </c>
      <c r="V26" s="16">
        <f t="shared" si="5"/>
        <v>10.709999999999999</v>
      </c>
      <c r="W26" s="16">
        <f t="shared" si="6"/>
        <v>7.14</v>
      </c>
      <c r="Y26" s="21"/>
      <c r="Z26" s="22">
        <v>1</v>
      </c>
      <c r="AA26">
        <f t="shared" si="7"/>
        <v>4</v>
      </c>
      <c r="AB26">
        <v>5</v>
      </c>
      <c r="AC26" s="22">
        <v>12</v>
      </c>
      <c r="AD26">
        <f t="shared" si="8"/>
        <v>10</v>
      </c>
      <c r="AE26" s="22">
        <v>1</v>
      </c>
      <c r="AF26" s="22">
        <f t="shared" si="9"/>
        <v>1.1000000000000001</v>
      </c>
      <c r="AG26" s="22">
        <f t="shared" si="10"/>
        <v>13.200000000000001</v>
      </c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3"/>
    </row>
    <row r="27" spans="1:52" x14ac:dyDescent="0.3">
      <c r="A27" s="19" t="s">
        <v>3</v>
      </c>
      <c r="B27" s="19" t="s">
        <v>132</v>
      </c>
      <c r="C27" s="19">
        <v>3</v>
      </c>
      <c r="D27" s="13" t="str">
        <f t="shared" si="11"/>
        <v>Climatización</v>
      </c>
      <c r="E27" s="19">
        <v>1</v>
      </c>
      <c r="F27" s="19">
        <v>7035001</v>
      </c>
      <c r="G27" s="19">
        <f t="shared" si="13"/>
        <v>1000</v>
      </c>
      <c r="H27" s="19" t="s">
        <v>58</v>
      </c>
      <c r="I27" s="19" t="s">
        <v>328</v>
      </c>
      <c r="J27" s="13">
        <f t="shared" si="0"/>
        <v>7035001</v>
      </c>
      <c r="K27" s="13">
        <f t="shared" si="1"/>
        <v>1000</v>
      </c>
      <c r="L27" s="20">
        <v>13.85</v>
      </c>
      <c r="M27" s="16">
        <v>0.3</v>
      </c>
      <c r="N27" s="16">
        <v>0</v>
      </c>
      <c r="O27" s="16">
        <v>0.3</v>
      </c>
      <c r="P27" s="16">
        <v>0.3</v>
      </c>
      <c r="Q27" s="16">
        <f t="shared" si="3"/>
        <v>14.750000000000002</v>
      </c>
      <c r="R27" s="20">
        <v>32</v>
      </c>
      <c r="S27" s="16">
        <f t="shared" si="4"/>
        <v>35.200000000000003</v>
      </c>
      <c r="T27" s="20"/>
      <c r="U27" s="16">
        <f t="shared" si="12"/>
        <v>17.25</v>
      </c>
      <c r="V27" s="16">
        <f t="shared" si="5"/>
        <v>10.35</v>
      </c>
      <c r="W27" s="16">
        <f t="shared" si="6"/>
        <v>6.9</v>
      </c>
      <c r="Y27" s="21"/>
      <c r="Z27" s="22">
        <v>1</v>
      </c>
      <c r="AA27">
        <f t="shared" si="7"/>
        <v>4</v>
      </c>
      <c r="AB27">
        <v>5</v>
      </c>
      <c r="AC27" s="22">
        <v>12</v>
      </c>
      <c r="AD27">
        <f t="shared" si="8"/>
        <v>10</v>
      </c>
      <c r="AE27" s="22">
        <v>1</v>
      </c>
      <c r="AF27" s="22">
        <f t="shared" si="9"/>
        <v>1.1000000000000001</v>
      </c>
      <c r="AG27" s="22">
        <f t="shared" si="10"/>
        <v>13.200000000000001</v>
      </c>
      <c r="AH27" s="22"/>
      <c r="AI27" s="22"/>
      <c r="AJ27" s="22">
        <v>6</v>
      </c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3"/>
    </row>
    <row r="28" spans="1:52" x14ac:dyDescent="0.3">
      <c r="A28" s="18" t="s">
        <v>3</v>
      </c>
      <c r="B28" s="13" t="s">
        <v>132</v>
      </c>
      <c r="C28" s="13">
        <v>3</v>
      </c>
      <c r="D28" s="13" t="str">
        <f t="shared" si="11"/>
        <v>Climatización</v>
      </c>
      <c r="E28" s="13">
        <v>1</v>
      </c>
      <c r="F28" s="13">
        <v>2127</v>
      </c>
      <c r="G28" s="13">
        <f t="shared" si="13"/>
        <v>100</v>
      </c>
      <c r="H28" s="13" t="s">
        <v>47</v>
      </c>
      <c r="I28" s="13" t="s">
        <v>187</v>
      </c>
      <c r="J28" s="13">
        <f t="shared" si="0"/>
        <v>2127</v>
      </c>
      <c r="K28" s="13">
        <f t="shared" si="1"/>
        <v>100</v>
      </c>
      <c r="L28" s="16">
        <v>3.95</v>
      </c>
      <c r="M28" s="16">
        <v>0.3</v>
      </c>
      <c r="N28" s="16">
        <v>0</v>
      </c>
      <c r="O28" s="16">
        <v>0.3</v>
      </c>
      <c r="P28" s="16">
        <v>0.3</v>
      </c>
      <c r="Q28" s="16">
        <f t="shared" si="3"/>
        <v>4.8499999999999996</v>
      </c>
      <c r="R28" s="16">
        <v>7.8</v>
      </c>
      <c r="S28" s="16">
        <f t="shared" si="4"/>
        <v>8.58</v>
      </c>
      <c r="T28" s="16">
        <v>12.65</v>
      </c>
      <c r="U28" s="16">
        <f t="shared" si="12"/>
        <v>2.95</v>
      </c>
      <c r="V28" s="16">
        <f t="shared" si="5"/>
        <v>1.77</v>
      </c>
      <c r="W28" s="16">
        <f t="shared" si="6"/>
        <v>1.1800000000000002</v>
      </c>
      <c r="Z28">
        <v>1</v>
      </c>
      <c r="AA28">
        <f t="shared" si="7"/>
        <v>8</v>
      </c>
      <c r="AB28">
        <v>5</v>
      </c>
      <c r="AC28">
        <v>24</v>
      </c>
      <c r="AD28">
        <f t="shared" si="8"/>
        <v>15</v>
      </c>
      <c r="AE28">
        <v>0.1</v>
      </c>
      <c r="AF28">
        <f t="shared" si="9"/>
        <v>0.11000000000000001</v>
      </c>
      <c r="AG28">
        <f t="shared" si="10"/>
        <v>2.6400000000000006</v>
      </c>
      <c r="AK28">
        <v>1</v>
      </c>
    </row>
    <row r="29" spans="1:52" x14ac:dyDescent="0.3">
      <c r="A29" s="18" t="s">
        <v>3</v>
      </c>
      <c r="B29" s="13" t="s">
        <v>132</v>
      </c>
      <c r="C29" s="13">
        <v>4</v>
      </c>
      <c r="D29" s="13" t="str">
        <f t="shared" si="11"/>
        <v>Sistema de Combustión</v>
      </c>
      <c r="E29" s="13">
        <v>1</v>
      </c>
      <c r="F29" s="13">
        <v>2030</v>
      </c>
      <c r="G29" s="13">
        <f t="shared" si="13"/>
        <v>500</v>
      </c>
      <c r="H29" s="13" t="s">
        <v>59</v>
      </c>
      <c r="I29" s="13" t="s">
        <v>197</v>
      </c>
      <c r="J29" s="13">
        <f t="shared" si="0"/>
        <v>2030</v>
      </c>
      <c r="K29" s="13">
        <f t="shared" si="1"/>
        <v>500</v>
      </c>
      <c r="L29" s="16">
        <v>3.65</v>
      </c>
      <c r="M29" s="16">
        <v>0.3</v>
      </c>
      <c r="N29" s="16">
        <v>0</v>
      </c>
      <c r="O29" s="16">
        <v>0.3</v>
      </c>
      <c r="P29" s="16">
        <v>0.3</v>
      </c>
      <c r="Q29" s="16">
        <f t="shared" si="3"/>
        <v>4.55</v>
      </c>
      <c r="R29" s="16">
        <v>9.0500000000000007</v>
      </c>
      <c r="S29" s="16">
        <f t="shared" si="4"/>
        <v>9.9550000000000018</v>
      </c>
      <c r="T29" s="16">
        <v>17.5</v>
      </c>
      <c r="U29" s="16">
        <f t="shared" si="12"/>
        <v>4.5000000000000009</v>
      </c>
      <c r="V29" s="16">
        <f t="shared" si="5"/>
        <v>2.7000000000000006</v>
      </c>
      <c r="W29" s="16">
        <f t="shared" si="6"/>
        <v>1.8000000000000005</v>
      </c>
      <c r="Z29">
        <v>1</v>
      </c>
      <c r="AA29">
        <f t="shared" si="7"/>
        <v>8</v>
      </c>
      <c r="AB29">
        <v>5</v>
      </c>
      <c r="AC29">
        <v>24</v>
      </c>
      <c r="AD29">
        <f t="shared" si="8"/>
        <v>15</v>
      </c>
      <c r="AE29">
        <v>0.5</v>
      </c>
      <c r="AF29">
        <f t="shared" si="9"/>
        <v>0.55000000000000004</v>
      </c>
      <c r="AG29">
        <f t="shared" si="10"/>
        <v>13.200000000000001</v>
      </c>
      <c r="AK29">
        <v>4</v>
      </c>
    </row>
    <row r="30" spans="1:52" x14ac:dyDescent="0.3">
      <c r="A30" s="18" t="s">
        <v>3</v>
      </c>
      <c r="B30" s="13" t="s">
        <v>132</v>
      </c>
      <c r="C30" s="13">
        <v>4</v>
      </c>
      <c r="D30" s="13" t="str">
        <f t="shared" si="11"/>
        <v>Sistema de Combustión</v>
      </c>
      <c r="E30" s="13">
        <v>1</v>
      </c>
      <c r="F30" s="13">
        <v>2130</v>
      </c>
      <c r="G30" s="13">
        <f t="shared" si="13"/>
        <v>400</v>
      </c>
      <c r="H30" s="13" t="s">
        <v>60</v>
      </c>
      <c r="I30" s="13" t="s">
        <v>198</v>
      </c>
      <c r="J30" s="13">
        <f t="shared" si="0"/>
        <v>2130</v>
      </c>
      <c r="K30" s="13">
        <f t="shared" si="1"/>
        <v>400</v>
      </c>
      <c r="L30" s="16">
        <v>3.95</v>
      </c>
      <c r="M30" s="16">
        <v>0.3</v>
      </c>
      <c r="N30" s="16">
        <v>0</v>
      </c>
      <c r="O30" s="16">
        <v>0.3</v>
      </c>
      <c r="P30" s="16">
        <v>0.3</v>
      </c>
      <c r="Q30" s="16">
        <f t="shared" si="3"/>
        <v>4.8499999999999996</v>
      </c>
      <c r="R30" s="16">
        <v>12.2</v>
      </c>
      <c r="S30" s="16">
        <f t="shared" si="4"/>
        <v>13.42</v>
      </c>
      <c r="T30" s="16">
        <v>20.3</v>
      </c>
      <c r="U30" s="16">
        <f t="shared" si="12"/>
        <v>7.35</v>
      </c>
      <c r="V30" s="16">
        <f t="shared" si="5"/>
        <v>4.4099999999999993</v>
      </c>
      <c r="W30" s="16">
        <f t="shared" si="6"/>
        <v>2.94</v>
      </c>
      <c r="Z30">
        <v>1</v>
      </c>
      <c r="AA30">
        <f t="shared" si="7"/>
        <v>8</v>
      </c>
      <c r="AB30">
        <v>5</v>
      </c>
      <c r="AC30">
        <v>24</v>
      </c>
      <c r="AD30">
        <f t="shared" si="8"/>
        <v>15</v>
      </c>
      <c r="AE30">
        <v>0.4</v>
      </c>
      <c r="AF30">
        <f t="shared" si="9"/>
        <v>0.44000000000000006</v>
      </c>
      <c r="AG30">
        <f t="shared" si="10"/>
        <v>10.560000000000002</v>
      </c>
      <c r="AJ30">
        <v>2</v>
      </c>
    </row>
    <row r="31" spans="1:52" x14ac:dyDescent="0.3">
      <c r="A31" s="18" t="s">
        <v>3</v>
      </c>
      <c r="B31" s="13" t="s">
        <v>132</v>
      </c>
      <c r="C31" s="13">
        <v>4</v>
      </c>
      <c r="D31" s="13" t="str">
        <f t="shared" si="11"/>
        <v>Sistema de Combustión</v>
      </c>
      <c r="E31" s="13">
        <v>1</v>
      </c>
      <c r="F31" s="13">
        <v>2230</v>
      </c>
      <c r="G31" s="13">
        <f t="shared" si="13"/>
        <v>400</v>
      </c>
      <c r="H31" s="13" t="s">
        <v>199</v>
      </c>
      <c r="I31" s="13" t="s">
        <v>329</v>
      </c>
      <c r="J31" s="13">
        <f t="shared" si="0"/>
        <v>2230</v>
      </c>
      <c r="K31" s="13">
        <f t="shared" si="1"/>
        <v>400</v>
      </c>
      <c r="L31" s="16">
        <v>6.5</v>
      </c>
      <c r="M31" s="16">
        <v>0.3</v>
      </c>
      <c r="N31" s="16">
        <v>0</v>
      </c>
      <c r="O31" s="16">
        <v>0.3</v>
      </c>
      <c r="P31" s="16">
        <v>0.3</v>
      </c>
      <c r="Q31" s="16">
        <f t="shared" si="3"/>
        <v>7.3999999999999995</v>
      </c>
      <c r="R31" s="16">
        <v>17.899999999999999</v>
      </c>
      <c r="S31" s="16">
        <f t="shared" si="4"/>
        <v>19.690000000000001</v>
      </c>
      <c r="T31" s="16">
        <v>29.6</v>
      </c>
      <c r="U31" s="16">
        <f t="shared" si="12"/>
        <v>10.5</v>
      </c>
      <c r="V31" s="16">
        <f t="shared" si="5"/>
        <v>6.3</v>
      </c>
      <c r="W31" s="16">
        <f t="shared" si="6"/>
        <v>4.2</v>
      </c>
      <c r="Z31">
        <v>1</v>
      </c>
      <c r="AA31">
        <f t="shared" si="7"/>
        <v>8</v>
      </c>
      <c r="AB31">
        <v>5</v>
      </c>
      <c r="AC31">
        <v>24</v>
      </c>
      <c r="AD31">
        <f t="shared" si="8"/>
        <v>15</v>
      </c>
      <c r="AE31">
        <v>0.4</v>
      </c>
      <c r="AF31">
        <f t="shared" si="9"/>
        <v>0.44000000000000006</v>
      </c>
      <c r="AG31">
        <f t="shared" si="10"/>
        <v>10.560000000000002</v>
      </c>
      <c r="AJ31">
        <v>2</v>
      </c>
    </row>
    <row r="32" spans="1:52" x14ac:dyDescent="0.3">
      <c r="A32" s="18" t="s">
        <v>3</v>
      </c>
      <c r="B32" s="13" t="s">
        <v>132</v>
      </c>
      <c r="C32" s="13">
        <v>4</v>
      </c>
      <c r="D32" s="13" t="str">
        <f t="shared" si="11"/>
        <v>Sistema de Combustión</v>
      </c>
      <c r="E32" s="13">
        <v>1</v>
      </c>
      <c r="F32" s="13">
        <v>2031</v>
      </c>
      <c r="G32" s="13">
        <f t="shared" si="13"/>
        <v>400</v>
      </c>
      <c r="H32" s="13" t="s">
        <v>61</v>
      </c>
      <c r="I32" s="13" t="s">
        <v>200</v>
      </c>
      <c r="J32" s="13">
        <f t="shared" si="0"/>
        <v>2031</v>
      </c>
      <c r="K32" s="13">
        <f t="shared" si="1"/>
        <v>400</v>
      </c>
      <c r="L32" s="16">
        <v>3.5</v>
      </c>
      <c r="M32" s="16">
        <v>0.3</v>
      </c>
      <c r="N32" s="16">
        <v>0</v>
      </c>
      <c r="O32" s="16">
        <v>0.3</v>
      </c>
      <c r="P32" s="16">
        <v>0.3</v>
      </c>
      <c r="Q32" s="16">
        <f t="shared" si="3"/>
        <v>4.3999999999999995</v>
      </c>
      <c r="R32" s="16">
        <v>9.0500000000000007</v>
      </c>
      <c r="S32" s="16">
        <f t="shared" si="4"/>
        <v>9.9550000000000018</v>
      </c>
      <c r="T32" s="16">
        <v>15.45</v>
      </c>
      <c r="U32" s="16">
        <f t="shared" si="12"/>
        <v>4.6500000000000012</v>
      </c>
      <c r="V32" s="16">
        <f t="shared" si="5"/>
        <v>2.7900000000000005</v>
      </c>
      <c r="W32" s="16">
        <f t="shared" si="6"/>
        <v>1.8600000000000005</v>
      </c>
      <c r="Z32">
        <v>1</v>
      </c>
      <c r="AA32">
        <f t="shared" si="7"/>
        <v>8</v>
      </c>
      <c r="AB32">
        <v>5</v>
      </c>
      <c r="AC32">
        <v>24</v>
      </c>
      <c r="AD32">
        <f t="shared" si="8"/>
        <v>15</v>
      </c>
      <c r="AE32">
        <v>0.4</v>
      </c>
      <c r="AF32">
        <f t="shared" si="9"/>
        <v>0.44000000000000006</v>
      </c>
      <c r="AG32">
        <f t="shared" si="10"/>
        <v>10.560000000000002</v>
      </c>
      <c r="AJ32">
        <v>12</v>
      </c>
    </row>
    <row r="33" spans="1:52" x14ac:dyDescent="0.3">
      <c r="A33" s="18" t="s">
        <v>3</v>
      </c>
      <c r="B33" s="13" t="s">
        <v>132</v>
      </c>
      <c r="C33" s="13">
        <v>4</v>
      </c>
      <c r="D33" s="13" t="str">
        <f t="shared" si="11"/>
        <v>Sistema de Combustión</v>
      </c>
      <c r="E33" s="13">
        <v>1</v>
      </c>
      <c r="F33" s="13" t="s">
        <v>67</v>
      </c>
      <c r="G33" s="13">
        <f t="shared" si="13"/>
        <v>300</v>
      </c>
      <c r="H33" s="13" t="s">
        <v>66</v>
      </c>
      <c r="I33" s="13" t="s">
        <v>289</v>
      </c>
      <c r="J33" s="13" t="str">
        <f t="shared" si="0"/>
        <v>2032-300</v>
      </c>
      <c r="K33" s="13">
        <f t="shared" si="1"/>
        <v>300</v>
      </c>
      <c r="L33" s="16">
        <v>2.5499999999999998</v>
      </c>
      <c r="M33" s="16">
        <v>0.3</v>
      </c>
      <c r="N33" s="16">
        <v>0</v>
      </c>
      <c r="O33" s="16">
        <v>0.3</v>
      </c>
      <c r="P33" s="16">
        <v>0.3</v>
      </c>
      <c r="Q33" s="16">
        <f t="shared" si="3"/>
        <v>3.4499999999999993</v>
      </c>
      <c r="R33" s="16">
        <v>6.45</v>
      </c>
      <c r="S33" s="16">
        <f t="shared" si="4"/>
        <v>7.0950000000000006</v>
      </c>
      <c r="T33" s="16">
        <v>11.4</v>
      </c>
      <c r="U33" s="16">
        <f t="shared" si="12"/>
        <v>3.0000000000000009</v>
      </c>
      <c r="V33" s="16">
        <f t="shared" si="5"/>
        <v>1.8000000000000005</v>
      </c>
      <c r="W33" s="16">
        <f t="shared" si="6"/>
        <v>1.2000000000000004</v>
      </c>
      <c r="Z33">
        <v>1</v>
      </c>
      <c r="AA33">
        <f t="shared" si="7"/>
        <v>8</v>
      </c>
      <c r="AB33">
        <v>5</v>
      </c>
      <c r="AC33">
        <v>24</v>
      </c>
      <c r="AD33">
        <f t="shared" si="8"/>
        <v>15</v>
      </c>
      <c r="AE33">
        <v>0.3</v>
      </c>
      <c r="AF33">
        <f t="shared" si="9"/>
        <v>0.33</v>
      </c>
      <c r="AG33">
        <f t="shared" si="10"/>
        <v>7.92</v>
      </c>
      <c r="AK33">
        <v>1</v>
      </c>
    </row>
    <row r="34" spans="1:52" x14ac:dyDescent="0.3">
      <c r="A34" s="18" t="s">
        <v>3</v>
      </c>
      <c r="B34" s="13" t="s">
        <v>132</v>
      </c>
      <c r="C34" s="13">
        <v>4</v>
      </c>
      <c r="D34" s="13" t="str">
        <f t="shared" si="11"/>
        <v>Sistema de Combustión</v>
      </c>
      <c r="E34" s="13">
        <v>1</v>
      </c>
      <c r="F34" s="13">
        <v>2032</v>
      </c>
      <c r="G34" s="13">
        <f t="shared" si="13"/>
        <v>400</v>
      </c>
      <c r="H34" s="13" t="s">
        <v>66</v>
      </c>
      <c r="I34" s="13" t="s">
        <v>290</v>
      </c>
      <c r="J34" s="13">
        <f t="shared" si="0"/>
        <v>2032</v>
      </c>
      <c r="K34" s="13">
        <f t="shared" si="1"/>
        <v>400</v>
      </c>
      <c r="L34" s="16">
        <v>2.75</v>
      </c>
      <c r="M34" s="16">
        <v>0.3</v>
      </c>
      <c r="N34" s="16">
        <v>0</v>
      </c>
      <c r="O34" s="16">
        <v>0.3</v>
      </c>
      <c r="P34" s="16">
        <v>0.3</v>
      </c>
      <c r="Q34" s="16">
        <f t="shared" ref="Q34:Q64" si="14">+L34+M34+N34+O34+P34</f>
        <v>3.6499999999999995</v>
      </c>
      <c r="R34" s="16">
        <v>7.5</v>
      </c>
      <c r="S34" s="16">
        <f t="shared" ref="S34:S64" si="15">R34*1.1</f>
        <v>8.25</v>
      </c>
      <c r="T34" s="16">
        <v>13.8</v>
      </c>
      <c r="U34" s="16">
        <f t="shared" ref="U34:U64" si="16">R34-Q34</f>
        <v>3.8500000000000005</v>
      </c>
      <c r="V34" s="16">
        <f t="shared" ref="V34:V64" si="17">U34*0.6</f>
        <v>2.31</v>
      </c>
      <c r="W34" s="16">
        <f t="shared" ref="W34:W64" si="18">U34*0.4</f>
        <v>1.5400000000000003</v>
      </c>
      <c r="Z34">
        <v>1</v>
      </c>
      <c r="AA34">
        <f t="shared" ref="AA34:AA64" si="19">INT(AC34/3)</f>
        <v>8</v>
      </c>
      <c r="AB34">
        <v>5</v>
      </c>
      <c r="AC34">
        <v>24</v>
      </c>
      <c r="AD34">
        <f t="shared" ref="AD34:AD64" si="20">IF(AC34=24,15,IF(AC34=12,10,0))</f>
        <v>15</v>
      </c>
      <c r="AE34">
        <v>0.4</v>
      </c>
      <c r="AF34">
        <f t="shared" ref="AF34:AF64" si="21">AE34*1.1</f>
        <v>0.44000000000000006</v>
      </c>
      <c r="AG34">
        <f t="shared" ref="AG34:AG64" si="22">AF34*AC34</f>
        <v>10.560000000000002</v>
      </c>
      <c r="AK34">
        <v>1</v>
      </c>
    </row>
    <row r="35" spans="1:52" x14ac:dyDescent="0.3">
      <c r="A35" s="18" t="s">
        <v>3</v>
      </c>
      <c r="B35" s="13" t="s">
        <v>132</v>
      </c>
      <c r="C35" s="13">
        <v>4</v>
      </c>
      <c r="D35" s="13" t="str">
        <f t="shared" si="11"/>
        <v>Sistema de Combustión</v>
      </c>
      <c r="E35" s="13">
        <v>1</v>
      </c>
      <c r="F35" t="s">
        <v>62</v>
      </c>
      <c r="G35" s="13">
        <f t="shared" si="13"/>
        <v>250</v>
      </c>
      <c r="H35" s="13" t="s">
        <v>63</v>
      </c>
      <c r="I35" s="13" t="s">
        <v>201</v>
      </c>
      <c r="J35" s="13" t="str">
        <f t="shared" si="0"/>
        <v>2032+</v>
      </c>
      <c r="K35" s="13">
        <f t="shared" si="1"/>
        <v>250</v>
      </c>
      <c r="L35" s="16">
        <v>3.6</v>
      </c>
      <c r="M35" s="16">
        <v>0.3</v>
      </c>
      <c r="N35" s="16">
        <v>0</v>
      </c>
      <c r="O35" s="16">
        <v>0.3</v>
      </c>
      <c r="P35" s="16">
        <v>0.3</v>
      </c>
      <c r="Q35" s="16">
        <f t="shared" si="14"/>
        <v>4.5</v>
      </c>
      <c r="R35" s="16">
        <v>8.9</v>
      </c>
      <c r="S35" s="16">
        <f t="shared" si="15"/>
        <v>9.7900000000000009</v>
      </c>
      <c r="T35" s="16">
        <v>17.3</v>
      </c>
      <c r="U35" s="16">
        <f t="shared" si="16"/>
        <v>4.4000000000000004</v>
      </c>
      <c r="V35" s="16">
        <f t="shared" si="17"/>
        <v>2.64</v>
      </c>
      <c r="W35" s="16">
        <f t="shared" si="18"/>
        <v>1.7600000000000002</v>
      </c>
      <c r="Z35">
        <v>1</v>
      </c>
      <c r="AA35">
        <f t="shared" si="19"/>
        <v>8</v>
      </c>
      <c r="AB35">
        <v>5</v>
      </c>
      <c r="AC35">
        <v>24</v>
      </c>
      <c r="AD35">
        <f t="shared" si="20"/>
        <v>15</v>
      </c>
      <c r="AE35">
        <v>0.25</v>
      </c>
      <c r="AF35">
        <f t="shared" si="21"/>
        <v>0.27500000000000002</v>
      </c>
      <c r="AG35">
        <f t="shared" si="22"/>
        <v>6.6000000000000005</v>
      </c>
      <c r="AK35">
        <v>5</v>
      </c>
    </row>
    <row r="36" spans="1:52" x14ac:dyDescent="0.3">
      <c r="A36" s="18" t="s">
        <v>3</v>
      </c>
      <c r="B36" s="13" t="s">
        <v>132</v>
      </c>
      <c r="C36" s="13">
        <v>4</v>
      </c>
      <c r="D36" s="13" t="str">
        <f t="shared" si="11"/>
        <v>Sistema de Combustión</v>
      </c>
      <c r="E36" s="13">
        <v>1</v>
      </c>
      <c r="F36">
        <v>732</v>
      </c>
      <c r="G36" s="13">
        <f t="shared" si="13"/>
        <v>50</v>
      </c>
      <c r="H36" s="13" t="s">
        <v>64</v>
      </c>
      <c r="I36" s="13" t="s">
        <v>291</v>
      </c>
      <c r="J36" s="13">
        <f t="shared" si="0"/>
        <v>732</v>
      </c>
      <c r="K36" s="13">
        <f t="shared" si="1"/>
        <v>50</v>
      </c>
      <c r="L36" s="16">
        <v>1.2</v>
      </c>
      <c r="M36" s="16">
        <v>0.3</v>
      </c>
      <c r="N36" s="16">
        <v>0</v>
      </c>
      <c r="O36" s="16">
        <v>0.3</v>
      </c>
      <c r="P36" s="16">
        <v>0.3</v>
      </c>
      <c r="Q36" s="16">
        <f t="shared" si="14"/>
        <v>2.1</v>
      </c>
      <c r="R36" s="16">
        <v>2.4500000000000002</v>
      </c>
      <c r="S36" s="16">
        <f t="shared" si="15"/>
        <v>2.6950000000000003</v>
      </c>
      <c r="U36" s="16">
        <f t="shared" si="16"/>
        <v>0.35000000000000009</v>
      </c>
      <c r="V36" s="16">
        <f t="shared" si="17"/>
        <v>0.21000000000000005</v>
      </c>
      <c r="W36" s="16">
        <f t="shared" si="18"/>
        <v>0.14000000000000004</v>
      </c>
      <c r="Z36">
        <v>1</v>
      </c>
      <c r="AA36">
        <f t="shared" si="19"/>
        <v>33</v>
      </c>
      <c r="AB36">
        <v>5</v>
      </c>
      <c r="AC36">
        <v>100</v>
      </c>
      <c r="AD36">
        <f t="shared" si="20"/>
        <v>0</v>
      </c>
      <c r="AE36">
        <v>0.05</v>
      </c>
      <c r="AF36">
        <f t="shared" si="21"/>
        <v>5.5000000000000007E-2</v>
      </c>
      <c r="AG36">
        <f t="shared" si="22"/>
        <v>5.5000000000000009</v>
      </c>
      <c r="AK36">
        <v>1</v>
      </c>
    </row>
    <row r="37" spans="1:52" s="22" customFormat="1" x14ac:dyDescent="0.3">
      <c r="A37" s="18" t="s">
        <v>3</v>
      </c>
      <c r="B37" s="13" t="s">
        <v>132</v>
      </c>
      <c r="C37" s="13">
        <v>4</v>
      </c>
      <c r="D37" s="13" t="str">
        <f t="shared" si="11"/>
        <v>Sistema de Combustión</v>
      </c>
      <c r="E37" s="13">
        <v>1</v>
      </c>
      <c r="F37" s="13" t="s">
        <v>118</v>
      </c>
      <c r="G37" s="13">
        <f t="shared" si="13"/>
        <v>400</v>
      </c>
      <c r="H37" s="13" t="s">
        <v>64</v>
      </c>
      <c r="I37" s="13" t="s">
        <v>292</v>
      </c>
      <c r="J37" s="13" t="str">
        <f t="shared" si="0"/>
        <v>732-400</v>
      </c>
      <c r="K37" s="13">
        <f t="shared" si="1"/>
        <v>400</v>
      </c>
      <c r="L37" s="16">
        <v>4.7</v>
      </c>
      <c r="M37" s="16">
        <v>0.3</v>
      </c>
      <c r="N37" s="16">
        <v>0</v>
      </c>
      <c r="O37" s="16">
        <v>0.3</v>
      </c>
      <c r="P37" s="16">
        <v>0.3</v>
      </c>
      <c r="Q37" s="16">
        <f t="shared" si="14"/>
        <v>5.6</v>
      </c>
      <c r="R37" s="16">
        <v>10.5</v>
      </c>
      <c r="S37" s="16">
        <f t="shared" si="15"/>
        <v>11.55</v>
      </c>
      <c r="T37" s="16"/>
      <c r="U37" s="16">
        <f t="shared" si="16"/>
        <v>4.9000000000000004</v>
      </c>
      <c r="V37" s="16">
        <f t="shared" si="17"/>
        <v>2.94</v>
      </c>
      <c r="W37" s="16">
        <f t="shared" si="18"/>
        <v>1.9600000000000002</v>
      </c>
      <c r="X37" s="16"/>
      <c r="Y37" s="17"/>
      <c r="Z37">
        <v>1</v>
      </c>
      <c r="AA37">
        <f t="shared" si="19"/>
        <v>4</v>
      </c>
      <c r="AB37">
        <v>5</v>
      </c>
      <c r="AC37">
        <v>12</v>
      </c>
      <c r="AD37">
        <f t="shared" si="20"/>
        <v>10</v>
      </c>
      <c r="AE37">
        <v>0.4</v>
      </c>
      <c r="AF37">
        <f t="shared" si="21"/>
        <v>0.44000000000000006</v>
      </c>
      <c r="AG37">
        <f t="shared" si="22"/>
        <v>5.2800000000000011</v>
      </c>
      <c r="AH37"/>
      <c r="AI37"/>
      <c r="AJ37"/>
      <c r="AK37">
        <v>1</v>
      </c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 s="12"/>
    </row>
    <row r="38" spans="1:52" x14ac:dyDescent="0.3">
      <c r="A38" s="18" t="s">
        <v>3</v>
      </c>
      <c r="B38" s="13" t="s">
        <v>132</v>
      </c>
      <c r="C38" s="13">
        <v>4</v>
      </c>
      <c r="D38" s="13" t="str">
        <f t="shared" si="11"/>
        <v>Sistema de Combustión</v>
      </c>
      <c r="E38" s="13">
        <v>1</v>
      </c>
      <c r="F38" s="13">
        <v>2132</v>
      </c>
      <c r="G38" s="13">
        <f t="shared" si="13"/>
        <v>500</v>
      </c>
      <c r="H38" s="13" t="s">
        <v>65</v>
      </c>
      <c r="I38" s="13" t="s">
        <v>293</v>
      </c>
      <c r="J38" s="13">
        <f t="shared" si="0"/>
        <v>2132</v>
      </c>
      <c r="K38" s="13">
        <f t="shared" si="1"/>
        <v>500</v>
      </c>
      <c r="L38" s="16">
        <v>5.5</v>
      </c>
      <c r="M38" s="16">
        <v>0.3</v>
      </c>
      <c r="N38" s="16">
        <v>0</v>
      </c>
      <c r="O38" s="16">
        <v>0.3</v>
      </c>
      <c r="P38" s="16">
        <v>0.3</v>
      </c>
      <c r="Q38" s="16">
        <f t="shared" si="14"/>
        <v>6.3999999999999995</v>
      </c>
      <c r="R38" s="16">
        <v>16.399999999999999</v>
      </c>
      <c r="S38" s="16">
        <f t="shared" si="15"/>
        <v>18.04</v>
      </c>
      <c r="T38" s="16">
        <v>26.1</v>
      </c>
      <c r="U38" s="16">
        <f t="shared" si="16"/>
        <v>10</v>
      </c>
      <c r="V38" s="16">
        <f t="shared" si="17"/>
        <v>6</v>
      </c>
      <c r="W38" s="16">
        <f t="shared" si="18"/>
        <v>4</v>
      </c>
      <c r="Z38">
        <v>1</v>
      </c>
      <c r="AA38">
        <f t="shared" si="19"/>
        <v>8</v>
      </c>
      <c r="AB38">
        <v>5</v>
      </c>
      <c r="AC38">
        <v>24</v>
      </c>
      <c r="AD38">
        <f t="shared" si="20"/>
        <v>15</v>
      </c>
      <c r="AE38">
        <v>0.5</v>
      </c>
      <c r="AF38">
        <f t="shared" si="21"/>
        <v>0.55000000000000004</v>
      </c>
      <c r="AG38">
        <f t="shared" si="22"/>
        <v>13.200000000000001</v>
      </c>
      <c r="AK38">
        <v>10</v>
      </c>
    </row>
    <row r="39" spans="1:52" x14ac:dyDescent="0.3">
      <c r="A39" s="18" t="s">
        <v>3</v>
      </c>
      <c r="B39" s="13" t="s">
        <v>132</v>
      </c>
      <c r="C39" s="13">
        <v>4</v>
      </c>
      <c r="D39" s="13" t="str">
        <f t="shared" si="11"/>
        <v>Sistema de Combustión</v>
      </c>
      <c r="E39" s="13"/>
      <c r="F39" s="13" t="s">
        <v>142</v>
      </c>
      <c r="G39" s="13">
        <f t="shared" si="13"/>
        <v>300</v>
      </c>
      <c r="H39" s="13" t="s">
        <v>65</v>
      </c>
      <c r="I39" s="13" t="s">
        <v>294</v>
      </c>
      <c r="J39" s="13" t="str">
        <f t="shared" si="0"/>
        <v>2132-300</v>
      </c>
      <c r="K39" s="13">
        <f t="shared" si="1"/>
        <v>300</v>
      </c>
      <c r="L39" s="16">
        <v>3.9</v>
      </c>
      <c r="M39" s="16">
        <v>0.3</v>
      </c>
      <c r="N39" s="16">
        <v>0</v>
      </c>
      <c r="O39" s="16">
        <v>0.3</v>
      </c>
      <c r="P39" s="16">
        <v>0.3</v>
      </c>
      <c r="Q39" s="16">
        <f t="shared" si="14"/>
        <v>4.8</v>
      </c>
      <c r="R39" s="16">
        <v>9.8000000000000007</v>
      </c>
      <c r="S39" s="16">
        <f t="shared" si="15"/>
        <v>10.780000000000001</v>
      </c>
      <c r="T39" s="16">
        <v>18.3</v>
      </c>
      <c r="U39" s="16">
        <f t="shared" si="16"/>
        <v>5.0000000000000009</v>
      </c>
      <c r="V39" s="16">
        <f t="shared" si="17"/>
        <v>3.0000000000000004</v>
      </c>
      <c r="W39" s="16">
        <f t="shared" si="18"/>
        <v>2.0000000000000004</v>
      </c>
      <c r="Z39">
        <v>1</v>
      </c>
      <c r="AA39">
        <f t="shared" si="19"/>
        <v>8</v>
      </c>
      <c r="AB39">
        <v>5</v>
      </c>
      <c r="AC39">
        <v>24</v>
      </c>
      <c r="AD39">
        <f t="shared" si="20"/>
        <v>15</v>
      </c>
      <c r="AE39">
        <v>0.3</v>
      </c>
      <c r="AF39">
        <f t="shared" si="21"/>
        <v>0.33</v>
      </c>
      <c r="AG39">
        <f t="shared" si="22"/>
        <v>7.92</v>
      </c>
    </row>
    <row r="40" spans="1:52" s="22" customFormat="1" x14ac:dyDescent="0.3">
      <c r="A40" s="18" t="s">
        <v>3</v>
      </c>
      <c r="B40" s="13" t="s">
        <v>132</v>
      </c>
      <c r="C40" s="13">
        <v>4</v>
      </c>
      <c r="D40" s="13" t="str">
        <f t="shared" si="11"/>
        <v>Sistema de Combustión</v>
      </c>
      <c r="E40" s="13">
        <v>1</v>
      </c>
      <c r="F40">
        <v>2232</v>
      </c>
      <c r="G40" s="13">
        <f t="shared" si="13"/>
        <v>500</v>
      </c>
      <c r="H40" s="13" t="s">
        <v>68</v>
      </c>
      <c r="I40" s="13" t="s">
        <v>203</v>
      </c>
      <c r="J40" s="13">
        <f t="shared" si="0"/>
        <v>2232</v>
      </c>
      <c r="K40" s="13">
        <f t="shared" si="1"/>
        <v>500</v>
      </c>
      <c r="L40" s="16">
        <v>6.85</v>
      </c>
      <c r="M40" s="16">
        <v>0.3</v>
      </c>
      <c r="N40" s="16">
        <v>0</v>
      </c>
      <c r="O40" s="16">
        <v>0.3</v>
      </c>
      <c r="P40" s="16">
        <v>0.3</v>
      </c>
      <c r="Q40" s="16">
        <f t="shared" si="14"/>
        <v>7.7499999999999991</v>
      </c>
      <c r="R40" s="16">
        <v>18.3</v>
      </c>
      <c r="S40" s="16">
        <f t="shared" si="15"/>
        <v>20.130000000000003</v>
      </c>
      <c r="T40" s="16">
        <v>30</v>
      </c>
      <c r="U40" s="16">
        <f t="shared" si="16"/>
        <v>10.55</v>
      </c>
      <c r="V40" s="16">
        <f t="shared" si="17"/>
        <v>6.33</v>
      </c>
      <c r="W40" s="16">
        <f t="shared" si="18"/>
        <v>4.2200000000000006</v>
      </c>
      <c r="X40" s="16"/>
      <c r="Y40" s="17"/>
      <c r="Z40">
        <v>1</v>
      </c>
      <c r="AA40">
        <f t="shared" si="19"/>
        <v>4</v>
      </c>
      <c r="AB40">
        <v>5</v>
      </c>
      <c r="AC40">
        <v>12</v>
      </c>
      <c r="AD40">
        <f t="shared" si="20"/>
        <v>10</v>
      </c>
      <c r="AE40">
        <v>0.5</v>
      </c>
      <c r="AF40">
        <f t="shared" si="21"/>
        <v>0.55000000000000004</v>
      </c>
      <c r="AG40">
        <f t="shared" si="22"/>
        <v>6.6000000000000005</v>
      </c>
      <c r="AH40"/>
      <c r="AI40"/>
      <c r="AJ40">
        <v>6</v>
      </c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 s="12"/>
    </row>
    <row r="41" spans="1:52" s="22" customFormat="1" x14ac:dyDescent="0.3">
      <c r="A41" s="18" t="s">
        <v>3</v>
      </c>
      <c r="B41" s="13" t="s">
        <v>132</v>
      </c>
      <c r="C41" s="13">
        <v>4</v>
      </c>
      <c r="D41" s="13" t="str">
        <f t="shared" si="11"/>
        <v>Sistema de Combustión</v>
      </c>
      <c r="E41" s="13">
        <v>1</v>
      </c>
      <c r="F41">
        <v>39000</v>
      </c>
      <c r="G41" s="13">
        <f t="shared" si="13"/>
        <v>2000</v>
      </c>
      <c r="H41" s="13" t="s">
        <v>69</v>
      </c>
      <c r="I41" s="13" t="s">
        <v>204</v>
      </c>
      <c r="J41" s="13">
        <f t="shared" ref="J41:J72" si="23">F41</f>
        <v>39000</v>
      </c>
      <c r="K41" s="13" t="s">
        <v>246</v>
      </c>
      <c r="L41" s="16">
        <v>135</v>
      </c>
      <c r="M41" s="16">
        <v>0.3</v>
      </c>
      <c r="N41" s="16">
        <v>0</v>
      </c>
      <c r="O41" s="16">
        <v>0.3</v>
      </c>
      <c r="P41" s="16">
        <v>0.3</v>
      </c>
      <c r="Q41" s="16">
        <f t="shared" si="14"/>
        <v>135.90000000000003</v>
      </c>
      <c r="R41" s="16">
        <v>170</v>
      </c>
      <c r="S41" s="16">
        <f t="shared" si="15"/>
        <v>187.00000000000003</v>
      </c>
      <c r="T41" s="16"/>
      <c r="U41" s="16">
        <f t="shared" si="16"/>
        <v>34.099999999999966</v>
      </c>
      <c r="V41" s="16">
        <f t="shared" si="17"/>
        <v>20.45999999999998</v>
      </c>
      <c r="W41" s="16">
        <f t="shared" si="18"/>
        <v>13.639999999999986</v>
      </c>
      <c r="X41" s="16"/>
      <c r="Y41" s="17"/>
      <c r="Z41">
        <v>1</v>
      </c>
      <c r="AA41">
        <f t="shared" si="19"/>
        <v>0</v>
      </c>
      <c r="AB41">
        <v>5</v>
      </c>
      <c r="AC41">
        <v>1</v>
      </c>
      <c r="AD41">
        <f t="shared" si="20"/>
        <v>0</v>
      </c>
      <c r="AE41">
        <v>2</v>
      </c>
      <c r="AF41">
        <f t="shared" si="21"/>
        <v>2.2000000000000002</v>
      </c>
      <c r="AG41">
        <f t="shared" si="22"/>
        <v>2.2000000000000002</v>
      </c>
      <c r="AH41"/>
      <c r="AI41"/>
      <c r="AJ41">
        <v>1</v>
      </c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 s="12"/>
    </row>
    <row r="42" spans="1:52" x14ac:dyDescent="0.3">
      <c r="A42" s="18" t="s">
        <v>3</v>
      </c>
      <c r="B42" s="13" t="s">
        <v>132</v>
      </c>
      <c r="C42" s="13">
        <v>4</v>
      </c>
      <c r="D42" s="13" t="str">
        <f t="shared" si="11"/>
        <v>Sistema de Combustión</v>
      </c>
      <c r="E42" s="13">
        <v>1</v>
      </c>
      <c r="F42">
        <v>39001</v>
      </c>
      <c r="G42" s="13">
        <f t="shared" si="13"/>
        <v>100</v>
      </c>
      <c r="H42" s="13" t="s">
        <v>70</v>
      </c>
      <c r="I42" s="13" t="s">
        <v>320</v>
      </c>
      <c r="J42" s="13">
        <f t="shared" si="23"/>
        <v>39001</v>
      </c>
      <c r="K42" s="13" t="s">
        <v>246</v>
      </c>
      <c r="L42" s="16">
        <v>20</v>
      </c>
      <c r="M42" s="16">
        <v>0.3</v>
      </c>
      <c r="N42" s="16">
        <v>0</v>
      </c>
      <c r="O42" s="16">
        <v>0.3</v>
      </c>
      <c r="P42" s="16">
        <v>0.3</v>
      </c>
      <c r="Q42" s="16">
        <f t="shared" si="14"/>
        <v>20.900000000000002</v>
      </c>
      <c r="R42" s="16">
        <v>30.95</v>
      </c>
      <c r="S42" s="16">
        <f t="shared" si="15"/>
        <v>34.045000000000002</v>
      </c>
      <c r="U42" s="16">
        <f t="shared" si="16"/>
        <v>10.049999999999997</v>
      </c>
      <c r="V42" s="16">
        <f t="shared" si="17"/>
        <v>6.0299999999999985</v>
      </c>
      <c r="W42" s="16">
        <f t="shared" si="18"/>
        <v>4.0199999999999987</v>
      </c>
      <c r="Z42">
        <v>1</v>
      </c>
      <c r="AA42">
        <f t="shared" si="19"/>
        <v>0</v>
      </c>
      <c r="AB42">
        <v>5</v>
      </c>
      <c r="AC42">
        <v>1</v>
      </c>
      <c r="AD42">
        <f t="shared" si="20"/>
        <v>0</v>
      </c>
      <c r="AE42">
        <v>0.1</v>
      </c>
      <c r="AF42">
        <f t="shared" si="21"/>
        <v>0.11000000000000001</v>
      </c>
      <c r="AG42">
        <f t="shared" si="22"/>
        <v>0.11000000000000001</v>
      </c>
      <c r="AJ42">
        <v>2</v>
      </c>
    </row>
    <row r="43" spans="1:52" x14ac:dyDescent="0.3">
      <c r="A43" s="18" t="s">
        <v>3</v>
      </c>
      <c r="B43" s="13" t="s">
        <v>132</v>
      </c>
      <c r="C43" s="13">
        <v>4</v>
      </c>
      <c r="D43" s="13" t="str">
        <f t="shared" si="11"/>
        <v>Sistema de Combustión</v>
      </c>
      <c r="E43" s="13">
        <v>1</v>
      </c>
      <c r="F43">
        <v>2033</v>
      </c>
      <c r="G43" s="13">
        <f t="shared" si="13"/>
        <v>400</v>
      </c>
      <c r="H43" s="13" t="s">
        <v>71</v>
      </c>
      <c r="I43" s="13" t="s">
        <v>319</v>
      </c>
      <c r="J43" s="13">
        <f t="shared" si="23"/>
        <v>2033</v>
      </c>
      <c r="K43" s="13">
        <f t="shared" ref="K43:K74" si="24">G43</f>
        <v>400</v>
      </c>
      <c r="L43" s="16">
        <v>4.9000000000000004</v>
      </c>
      <c r="M43" s="16">
        <v>0.3</v>
      </c>
      <c r="N43" s="16">
        <v>0</v>
      </c>
      <c r="O43" s="16">
        <v>0.3</v>
      </c>
      <c r="P43" s="16">
        <v>0.3</v>
      </c>
      <c r="Q43" s="16">
        <f t="shared" si="14"/>
        <v>5.8</v>
      </c>
      <c r="R43" s="16">
        <v>9.1999999999999993</v>
      </c>
      <c r="S43" s="16">
        <f t="shared" si="15"/>
        <v>10.119999999999999</v>
      </c>
      <c r="T43" s="16">
        <v>16.95</v>
      </c>
      <c r="U43" s="16">
        <f t="shared" si="16"/>
        <v>3.3999999999999995</v>
      </c>
      <c r="V43" s="16">
        <f t="shared" si="17"/>
        <v>2.0399999999999996</v>
      </c>
      <c r="W43" s="16">
        <f t="shared" si="18"/>
        <v>1.3599999999999999</v>
      </c>
      <c r="Z43">
        <v>1</v>
      </c>
      <c r="AA43">
        <f t="shared" si="19"/>
        <v>8</v>
      </c>
      <c r="AB43">
        <v>5</v>
      </c>
      <c r="AC43">
        <v>24</v>
      </c>
      <c r="AD43">
        <f t="shared" si="20"/>
        <v>15</v>
      </c>
      <c r="AE43">
        <v>0.4</v>
      </c>
      <c r="AF43">
        <f t="shared" si="21"/>
        <v>0.44000000000000006</v>
      </c>
      <c r="AG43">
        <f t="shared" si="22"/>
        <v>10.560000000000002</v>
      </c>
      <c r="AJ43">
        <v>4</v>
      </c>
    </row>
    <row r="44" spans="1:52" x14ac:dyDescent="0.3">
      <c r="A44" s="18" t="s">
        <v>3</v>
      </c>
      <c r="B44" s="13" t="s">
        <v>132</v>
      </c>
      <c r="C44" s="13">
        <v>4</v>
      </c>
      <c r="D44" s="13" t="str">
        <f t="shared" si="11"/>
        <v>Sistema de Combustión</v>
      </c>
      <c r="E44" s="13">
        <v>0</v>
      </c>
      <c r="F44">
        <v>2034</v>
      </c>
      <c r="G44" s="13">
        <f t="shared" si="13"/>
        <v>500</v>
      </c>
      <c r="H44" s="13" t="s">
        <v>72</v>
      </c>
      <c r="I44" s="13" t="s">
        <v>295</v>
      </c>
      <c r="J44" s="13">
        <f t="shared" si="23"/>
        <v>2034</v>
      </c>
      <c r="K44" s="13">
        <f t="shared" si="24"/>
        <v>500</v>
      </c>
      <c r="L44" s="16">
        <v>4.75</v>
      </c>
      <c r="M44" s="16">
        <v>0.3</v>
      </c>
      <c r="N44" s="16">
        <v>0</v>
      </c>
      <c r="O44" s="16">
        <v>0.3</v>
      </c>
      <c r="P44" s="16">
        <v>0.3</v>
      </c>
      <c r="Q44" s="16">
        <f t="shared" si="14"/>
        <v>5.6499999999999995</v>
      </c>
      <c r="R44" s="16">
        <v>14.6</v>
      </c>
      <c r="S44" s="16">
        <f t="shared" si="15"/>
        <v>16.060000000000002</v>
      </c>
      <c r="T44" s="16">
        <v>25.6</v>
      </c>
      <c r="U44" s="16">
        <f t="shared" si="16"/>
        <v>8.9499999999999993</v>
      </c>
      <c r="V44" s="16">
        <f t="shared" si="17"/>
        <v>5.3699999999999992</v>
      </c>
      <c r="W44" s="16">
        <f t="shared" si="18"/>
        <v>3.58</v>
      </c>
      <c r="Z44">
        <v>1</v>
      </c>
      <c r="AA44">
        <f t="shared" si="19"/>
        <v>8</v>
      </c>
      <c r="AB44">
        <v>5</v>
      </c>
      <c r="AC44">
        <v>24</v>
      </c>
      <c r="AD44">
        <f t="shared" si="20"/>
        <v>15</v>
      </c>
      <c r="AE44">
        <v>0.5</v>
      </c>
      <c r="AF44">
        <f t="shared" si="21"/>
        <v>0.55000000000000004</v>
      </c>
      <c r="AG44">
        <f t="shared" si="22"/>
        <v>13.200000000000001</v>
      </c>
      <c r="AK44">
        <v>2</v>
      </c>
    </row>
    <row r="45" spans="1:52" x14ac:dyDescent="0.3">
      <c r="A45" s="18" t="s">
        <v>3</v>
      </c>
      <c r="B45" s="13" t="s">
        <v>132</v>
      </c>
      <c r="C45" s="13">
        <v>4</v>
      </c>
      <c r="D45" s="13" t="str">
        <f t="shared" si="11"/>
        <v>Sistema de Combustión</v>
      </c>
      <c r="E45" s="13">
        <v>0</v>
      </c>
      <c r="F45" s="13" t="s">
        <v>73</v>
      </c>
      <c r="G45" s="13">
        <f t="shared" si="13"/>
        <v>300</v>
      </c>
      <c r="H45" s="13" t="s">
        <v>72</v>
      </c>
      <c r="I45" s="13" t="s">
        <v>296</v>
      </c>
      <c r="J45" s="13" t="str">
        <f t="shared" si="23"/>
        <v>2034-300</v>
      </c>
      <c r="K45" s="13">
        <f t="shared" si="24"/>
        <v>300</v>
      </c>
      <c r="L45" s="16">
        <v>3.5</v>
      </c>
      <c r="M45" s="16">
        <v>0.3</v>
      </c>
      <c r="N45" s="16">
        <v>0</v>
      </c>
      <c r="O45" s="16">
        <v>0.3</v>
      </c>
      <c r="P45" s="16">
        <v>0.3</v>
      </c>
      <c r="Q45" s="16">
        <f t="shared" si="14"/>
        <v>4.3999999999999995</v>
      </c>
      <c r="R45" s="16">
        <v>8.75</v>
      </c>
      <c r="S45" s="16">
        <f t="shared" si="15"/>
        <v>9.625</v>
      </c>
      <c r="T45" s="16">
        <v>15.4</v>
      </c>
      <c r="U45" s="16">
        <f t="shared" si="16"/>
        <v>4.3500000000000005</v>
      </c>
      <c r="V45" s="16">
        <f t="shared" si="17"/>
        <v>2.6100000000000003</v>
      </c>
      <c r="W45" s="16">
        <f t="shared" si="18"/>
        <v>1.7400000000000002</v>
      </c>
      <c r="Z45">
        <v>1</v>
      </c>
      <c r="AA45">
        <f t="shared" si="19"/>
        <v>8</v>
      </c>
      <c r="AB45">
        <v>5</v>
      </c>
      <c r="AC45">
        <v>24</v>
      </c>
      <c r="AD45">
        <f t="shared" si="20"/>
        <v>15</v>
      </c>
      <c r="AE45">
        <v>0.3</v>
      </c>
      <c r="AF45">
        <f t="shared" si="21"/>
        <v>0.33</v>
      </c>
      <c r="AG45">
        <f t="shared" si="22"/>
        <v>7.92</v>
      </c>
      <c r="AK45">
        <v>2</v>
      </c>
    </row>
    <row r="46" spans="1:52" x14ac:dyDescent="0.3">
      <c r="A46" s="18" t="s">
        <v>3</v>
      </c>
      <c r="B46" s="13" t="s">
        <v>132</v>
      </c>
      <c r="C46" s="13">
        <v>4</v>
      </c>
      <c r="D46" s="13" t="str">
        <f t="shared" si="11"/>
        <v>Sistema de Combustión</v>
      </c>
      <c r="F46">
        <v>2036</v>
      </c>
      <c r="G46" s="13">
        <f t="shared" si="13"/>
        <v>400</v>
      </c>
      <c r="H46" s="13" t="s">
        <v>119</v>
      </c>
      <c r="I46" s="13" t="s">
        <v>297</v>
      </c>
      <c r="J46" s="13">
        <f t="shared" si="23"/>
        <v>2036</v>
      </c>
      <c r="K46" s="13">
        <f t="shared" si="24"/>
        <v>400</v>
      </c>
      <c r="L46" s="16">
        <v>2.8</v>
      </c>
      <c r="M46" s="16">
        <v>0.3</v>
      </c>
      <c r="N46" s="16">
        <v>0</v>
      </c>
      <c r="O46" s="16">
        <v>0.3</v>
      </c>
      <c r="P46" s="16">
        <v>0.3</v>
      </c>
      <c r="Q46" s="16">
        <f t="shared" si="14"/>
        <v>3.6999999999999993</v>
      </c>
      <c r="R46" s="16">
        <v>7.3</v>
      </c>
      <c r="S46" s="16">
        <f t="shared" si="15"/>
        <v>8.0300000000000011</v>
      </c>
      <c r="T46" s="16">
        <v>14</v>
      </c>
      <c r="U46" s="16">
        <f t="shared" si="16"/>
        <v>3.6000000000000005</v>
      </c>
      <c r="V46" s="16">
        <f t="shared" si="17"/>
        <v>2.16</v>
      </c>
      <c r="W46" s="16">
        <f t="shared" si="18"/>
        <v>1.4400000000000004</v>
      </c>
      <c r="Z46">
        <v>1</v>
      </c>
      <c r="AA46">
        <f t="shared" si="19"/>
        <v>8</v>
      </c>
      <c r="AB46">
        <v>5</v>
      </c>
      <c r="AC46">
        <v>24</v>
      </c>
      <c r="AD46">
        <f t="shared" si="20"/>
        <v>15</v>
      </c>
      <c r="AE46">
        <v>0.4</v>
      </c>
      <c r="AF46">
        <f t="shared" si="21"/>
        <v>0.44000000000000006</v>
      </c>
      <c r="AG46">
        <f t="shared" si="22"/>
        <v>10.560000000000002</v>
      </c>
    </row>
    <row r="47" spans="1:52" x14ac:dyDescent="0.3">
      <c r="A47" s="18" t="s">
        <v>3</v>
      </c>
      <c r="B47" s="13" t="s">
        <v>132</v>
      </c>
      <c r="C47" s="13">
        <v>4</v>
      </c>
      <c r="D47" s="13" t="str">
        <f t="shared" si="11"/>
        <v>Sistema de Combustión</v>
      </c>
      <c r="F47" s="13" t="s">
        <v>120</v>
      </c>
      <c r="G47" s="13">
        <f t="shared" si="13"/>
        <v>300</v>
      </c>
      <c r="H47" s="13" t="s">
        <v>119</v>
      </c>
      <c r="I47" s="13" t="s">
        <v>298</v>
      </c>
      <c r="J47" s="13" t="str">
        <f t="shared" si="23"/>
        <v>2036-300</v>
      </c>
      <c r="K47" s="13">
        <f t="shared" si="24"/>
        <v>300</v>
      </c>
      <c r="L47" s="16">
        <v>2.6</v>
      </c>
      <c r="M47" s="16">
        <v>0.3</v>
      </c>
      <c r="N47" s="16">
        <v>0</v>
      </c>
      <c r="O47" s="16">
        <v>0.3</v>
      </c>
      <c r="P47" s="16">
        <v>0.3</v>
      </c>
      <c r="Q47" s="16">
        <f t="shared" si="14"/>
        <v>3.4999999999999996</v>
      </c>
      <c r="R47" s="16">
        <v>5.7</v>
      </c>
      <c r="S47" s="16">
        <f t="shared" si="15"/>
        <v>6.2700000000000005</v>
      </c>
      <c r="T47" s="16">
        <v>11</v>
      </c>
      <c r="U47" s="16">
        <f t="shared" si="16"/>
        <v>2.2000000000000006</v>
      </c>
      <c r="V47" s="16">
        <f t="shared" si="17"/>
        <v>1.3200000000000003</v>
      </c>
      <c r="W47" s="16">
        <f t="shared" si="18"/>
        <v>0.88000000000000034</v>
      </c>
      <c r="Z47">
        <v>1</v>
      </c>
      <c r="AA47">
        <f t="shared" si="19"/>
        <v>8</v>
      </c>
      <c r="AB47">
        <v>5</v>
      </c>
      <c r="AC47">
        <v>24</v>
      </c>
      <c r="AD47">
        <f t="shared" si="20"/>
        <v>15</v>
      </c>
      <c r="AE47">
        <v>0.3</v>
      </c>
      <c r="AF47">
        <f t="shared" si="21"/>
        <v>0.33</v>
      </c>
      <c r="AG47">
        <f t="shared" si="22"/>
        <v>7.92</v>
      </c>
    </row>
    <row r="48" spans="1:52" ht="15.75" customHeight="1" x14ac:dyDescent="0.3">
      <c r="A48" s="18" t="s">
        <v>3</v>
      </c>
      <c r="B48" s="13" t="s">
        <v>132</v>
      </c>
      <c r="C48" s="13">
        <v>4</v>
      </c>
      <c r="D48" s="13" t="str">
        <f t="shared" si="11"/>
        <v>Sistema de Combustión</v>
      </c>
      <c r="F48" t="s">
        <v>79</v>
      </c>
      <c r="G48" s="13">
        <f t="shared" si="13"/>
        <v>250</v>
      </c>
      <c r="H48" s="13" t="s">
        <v>80</v>
      </c>
      <c r="I48" s="13" t="s">
        <v>205</v>
      </c>
      <c r="J48" s="13" t="str">
        <f t="shared" si="23"/>
        <v>2036+</v>
      </c>
      <c r="K48" s="13">
        <f t="shared" si="24"/>
        <v>250</v>
      </c>
      <c r="L48" s="16">
        <v>3.75</v>
      </c>
      <c r="M48" s="16">
        <v>0.3</v>
      </c>
      <c r="N48" s="16">
        <v>0</v>
      </c>
      <c r="O48" s="16">
        <v>0.3</v>
      </c>
      <c r="P48" s="16">
        <v>0.3</v>
      </c>
      <c r="Q48" s="16">
        <f t="shared" si="14"/>
        <v>4.6499999999999995</v>
      </c>
      <c r="R48" s="16">
        <v>9.1</v>
      </c>
      <c r="S48" s="16">
        <f t="shared" si="15"/>
        <v>10.01</v>
      </c>
      <c r="T48" s="16">
        <v>17.899999999999999</v>
      </c>
      <c r="U48" s="16">
        <f t="shared" si="16"/>
        <v>4.45</v>
      </c>
      <c r="V48" s="16">
        <f t="shared" si="17"/>
        <v>2.67</v>
      </c>
      <c r="W48" s="16">
        <f t="shared" si="18"/>
        <v>1.7800000000000002</v>
      </c>
      <c r="Z48">
        <v>1</v>
      </c>
      <c r="AA48">
        <f t="shared" si="19"/>
        <v>8</v>
      </c>
      <c r="AB48">
        <v>5</v>
      </c>
      <c r="AC48">
        <v>24</v>
      </c>
      <c r="AD48">
        <f t="shared" si="20"/>
        <v>15</v>
      </c>
      <c r="AE48">
        <v>0.25</v>
      </c>
      <c r="AF48">
        <f t="shared" si="21"/>
        <v>0.27500000000000002</v>
      </c>
      <c r="AG48">
        <f t="shared" si="22"/>
        <v>6.6000000000000005</v>
      </c>
    </row>
    <row r="49" spans="1:52" x14ac:dyDescent="0.3">
      <c r="A49" s="18" t="s">
        <v>3</v>
      </c>
      <c r="B49" s="13" t="s">
        <v>132</v>
      </c>
      <c r="C49" s="13">
        <v>4</v>
      </c>
      <c r="D49" s="13" t="str">
        <f t="shared" si="11"/>
        <v>Sistema de Combustión</v>
      </c>
      <c r="F49">
        <v>2536</v>
      </c>
      <c r="G49" s="13">
        <f t="shared" si="13"/>
        <v>250</v>
      </c>
      <c r="H49" s="13" t="s">
        <v>144</v>
      </c>
      <c r="I49" s="13" t="s">
        <v>207</v>
      </c>
      <c r="J49" s="13">
        <f t="shared" si="23"/>
        <v>2536</v>
      </c>
      <c r="K49" s="13">
        <f t="shared" si="24"/>
        <v>250</v>
      </c>
      <c r="L49" s="16">
        <v>2.95</v>
      </c>
      <c r="M49" s="16">
        <v>0.3</v>
      </c>
      <c r="N49" s="16">
        <v>0</v>
      </c>
      <c r="O49" s="16">
        <v>0.3</v>
      </c>
      <c r="P49" s="16">
        <v>0.3</v>
      </c>
      <c r="Q49" s="16">
        <f t="shared" si="14"/>
        <v>3.8499999999999996</v>
      </c>
      <c r="R49" s="16">
        <v>9.9499999999999993</v>
      </c>
      <c r="S49" s="16">
        <f t="shared" si="15"/>
        <v>10.945</v>
      </c>
      <c r="T49" s="16">
        <v>18.399999999999999</v>
      </c>
      <c r="U49" s="16">
        <f t="shared" si="16"/>
        <v>6.1</v>
      </c>
      <c r="V49" s="16">
        <f t="shared" si="17"/>
        <v>3.6599999999999997</v>
      </c>
      <c r="W49" s="16">
        <f t="shared" si="18"/>
        <v>2.44</v>
      </c>
      <c r="Z49">
        <v>1</v>
      </c>
      <c r="AA49">
        <f t="shared" si="19"/>
        <v>8</v>
      </c>
      <c r="AB49">
        <v>5</v>
      </c>
      <c r="AC49">
        <v>24</v>
      </c>
      <c r="AD49">
        <f t="shared" si="20"/>
        <v>15</v>
      </c>
      <c r="AE49">
        <v>0.25</v>
      </c>
      <c r="AF49">
        <f t="shared" si="21"/>
        <v>0.27500000000000002</v>
      </c>
      <c r="AG49">
        <f t="shared" si="22"/>
        <v>6.6000000000000005</v>
      </c>
    </row>
    <row r="50" spans="1:52" x14ac:dyDescent="0.3">
      <c r="A50" s="18" t="s">
        <v>3</v>
      </c>
      <c r="B50" s="13" t="s">
        <v>132</v>
      </c>
      <c r="C50" s="13">
        <v>4</v>
      </c>
      <c r="D50" s="13" t="str">
        <f t="shared" si="11"/>
        <v>Sistema de Combustión</v>
      </c>
      <c r="F50">
        <v>2038</v>
      </c>
      <c r="G50" s="13">
        <f t="shared" si="13"/>
        <v>400</v>
      </c>
      <c r="H50" s="13" t="s">
        <v>81</v>
      </c>
      <c r="I50" s="13" t="s">
        <v>208</v>
      </c>
      <c r="J50" s="13">
        <f t="shared" si="23"/>
        <v>2038</v>
      </c>
      <c r="K50" s="13">
        <f t="shared" si="24"/>
        <v>400</v>
      </c>
      <c r="L50" s="16">
        <v>4.5</v>
      </c>
      <c r="M50" s="16">
        <v>0.3</v>
      </c>
      <c r="N50" s="16">
        <v>0</v>
      </c>
      <c r="O50" s="16">
        <v>0.3</v>
      </c>
      <c r="P50" s="16">
        <v>0.3</v>
      </c>
      <c r="Q50" s="16">
        <f t="shared" si="14"/>
        <v>5.3999999999999995</v>
      </c>
      <c r="R50" s="16">
        <v>12.85</v>
      </c>
      <c r="S50" s="16">
        <f t="shared" si="15"/>
        <v>14.135000000000002</v>
      </c>
      <c r="U50" s="16">
        <f t="shared" si="16"/>
        <v>7.45</v>
      </c>
      <c r="V50" s="16">
        <f t="shared" si="17"/>
        <v>4.47</v>
      </c>
      <c r="W50" s="16">
        <f t="shared" si="18"/>
        <v>2.9800000000000004</v>
      </c>
      <c r="Z50">
        <v>1</v>
      </c>
      <c r="AA50">
        <f t="shared" si="19"/>
        <v>8</v>
      </c>
      <c r="AB50">
        <v>5</v>
      </c>
      <c r="AC50">
        <v>24</v>
      </c>
      <c r="AD50">
        <f t="shared" si="20"/>
        <v>15</v>
      </c>
      <c r="AE50">
        <v>0.4</v>
      </c>
      <c r="AF50">
        <f t="shared" si="21"/>
        <v>0.44000000000000006</v>
      </c>
      <c r="AG50">
        <f t="shared" si="22"/>
        <v>10.560000000000002</v>
      </c>
    </row>
    <row r="51" spans="1:52" x14ac:dyDescent="0.3">
      <c r="A51" s="18" t="s">
        <v>3</v>
      </c>
      <c r="B51" s="13" t="s">
        <v>132</v>
      </c>
      <c r="C51" s="13">
        <v>5</v>
      </c>
      <c r="D51" s="13" t="str">
        <f t="shared" si="11"/>
        <v>Frenos</v>
      </c>
      <c r="F51">
        <v>2055</v>
      </c>
      <c r="G51" s="13">
        <f t="shared" ref="G51:G69" si="25">AE51*1000</f>
        <v>400</v>
      </c>
      <c r="H51" s="13" t="s">
        <v>83</v>
      </c>
      <c r="I51" s="13" t="s">
        <v>299</v>
      </c>
      <c r="J51" s="13">
        <f t="shared" si="23"/>
        <v>2055</v>
      </c>
      <c r="K51" s="13">
        <f t="shared" si="24"/>
        <v>400</v>
      </c>
      <c r="L51" s="16">
        <v>4.9000000000000004</v>
      </c>
      <c r="M51" s="16">
        <v>0.3</v>
      </c>
      <c r="N51" s="16">
        <v>0</v>
      </c>
      <c r="O51" s="16">
        <v>0.3</v>
      </c>
      <c r="P51" s="16">
        <v>0.3</v>
      </c>
      <c r="Q51" s="16">
        <f t="shared" si="14"/>
        <v>5.8</v>
      </c>
      <c r="R51" s="16">
        <v>11.8</v>
      </c>
      <c r="S51" s="16">
        <f t="shared" si="15"/>
        <v>12.980000000000002</v>
      </c>
      <c r="U51" s="16">
        <f t="shared" si="16"/>
        <v>6.0000000000000009</v>
      </c>
      <c r="V51" s="16">
        <f t="shared" si="17"/>
        <v>3.6000000000000005</v>
      </c>
      <c r="W51" s="16">
        <f t="shared" si="18"/>
        <v>2.4000000000000004</v>
      </c>
      <c r="Z51">
        <v>1</v>
      </c>
      <c r="AA51">
        <f t="shared" si="19"/>
        <v>8</v>
      </c>
      <c r="AB51">
        <v>5</v>
      </c>
      <c r="AC51">
        <v>24</v>
      </c>
      <c r="AD51">
        <f t="shared" si="20"/>
        <v>15</v>
      </c>
      <c r="AE51">
        <v>0.4</v>
      </c>
      <c r="AF51">
        <f t="shared" si="21"/>
        <v>0.44000000000000006</v>
      </c>
      <c r="AG51">
        <f t="shared" si="22"/>
        <v>10.560000000000002</v>
      </c>
    </row>
    <row r="52" spans="1:52" x14ac:dyDescent="0.3">
      <c r="A52" s="18" t="s">
        <v>3</v>
      </c>
      <c r="B52" s="13" t="s">
        <v>132</v>
      </c>
      <c r="C52" s="13">
        <v>5</v>
      </c>
      <c r="D52" s="13" t="str">
        <f t="shared" si="11"/>
        <v>Frenos</v>
      </c>
      <c r="F52">
        <v>2057</v>
      </c>
      <c r="G52" s="13">
        <f t="shared" si="25"/>
        <v>50</v>
      </c>
      <c r="H52" s="13" t="s">
        <v>83</v>
      </c>
      <c r="I52" s="13" t="s">
        <v>300</v>
      </c>
      <c r="J52" s="13">
        <f t="shared" si="23"/>
        <v>2057</v>
      </c>
      <c r="K52" s="13">
        <f t="shared" si="24"/>
        <v>50</v>
      </c>
      <c r="L52" s="16">
        <v>2.4500000000000002</v>
      </c>
      <c r="M52" s="16">
        <v>0.3</v>
      </c>
      <c r="N52" s="16">
        <v>0</v>
      </c>
      <c r="O52" s="16">
        <v>0.3</v>
      </c>
      <c r="P52" s="16">
        <v>0.3</v>
      </c>
      <c r="Q52" s="16">
        <f t="shared" si="14"/>
        <v>3.3499999999999996</v>
      </c>
      <c r="R52" s="16">
        <v>4.25</v>
      </c>
      <c r="S52" s="16">
        <f t="shared" si="15"/>
        <v>4.6750000000000007</v>
      </c>
      <c r="U52" s="16">
        <f t="shared" si="16"/>
        <v>0.90000000000000036</v>
      </c>
      <c r="V52" s="16">
        <f t="shared" si="17"/>
        <v>0.54000000000000015</v>
      </c>
      <c r="W52" s="16">
        <f t="shared" si="18"/>
        <v>0.36000000000000015</v>
      </c>
      <c r="Z52">
        <v>1</v>
      </c>
      <c r="AA52">
        <f t="shared" si="19"/>
        <v>16</v>
      </c>
      <c r="AB52">
        <v>5</v>
      </c>
      <c r="AC52">
        <v>48</v>
      </c>
      <c r="AD52">
        <f t="shared" si="20"/>
        <v>0</v>
      </c>
      <c r="AE52">
        <v>0.05</v>
      </c>
      <c r="AF52">
        <f t="shared" si="21"/>
        <v>5.5000000000000007E-2</v>
      </c>
      <c r="AG52">
        <f t="shared" si="22"/>
        <v>2.6400000000000006</v>
      </c>
    </row>
    <row r="53" spans="1:52" s="22" customFormat="1" x14ac:dyDescent="0.3">
      <c r="A53" s="18" t="s">
        <v>3</v>
      </c>
      <c r="B53" s="13" t="s">
        <v>132</v>
      </c>
      <c r="C53" s="13">
        <v>5</v>
      </c>
      <c r="D53" s="13" t="str">
        <f t="shared" si="11"/>
        <v>Frenos</v>
      </c>
      <c r="E53"/>
      <c r="F53">
        <v>255</v>
      </c>
      <c r="G53" s="13">
        <f t="shared" si="25"/>
        <v>400</v>
      </c>
      <c r="H53" s="13" t="s">
        <v>124</v>
      </c>
      <c r="I53" s="13" t="s">
        <v>210</v>
      </c>
      <c r="J53" s="13">
        <f t="shared" si="23"/>
        <v>255</v>
      </c>
      <c r="K53" s="13">
        <f t="shared" si="24"/>
        <v>400</v>
      </c>
      <c r="L53" s="16">
        <v>3.75</v>
      </c>
      <c r="M53" s="16">
        <v>0.3</v>
      </c>
      <c r="N53" s="16">
        <v>0</v>
      </c>
      <c r="O53" s="16">
        <v>0.3</v>
      </c>
      <c r="P53" s="16">
        <v>0.3</v>
      </c>
      <c r="Q53" s="16">
        <f t="shared" si="14"/>
        <v>4.6499999999999995</v>
      </c>
      <c r="R53" s="16">
        <v>10.6</v>
      </c>
      <c r="S53" s="16">
        <f t="shared" si="15"/>
        <v>11.66</v>
      </c>
      <c r="T53" s="16"/>
      <c r="U53" s="16">
        <f t="shared" si="16"/>
        <v>5.95</v>
      </c>
      <c r="V53" s="16">
        <f t="shared" si="17"/>
        <v>3.57</v>
      </c>
      <c r="W53" s="16">
        <f t="shared" si="18"/>
        <v>2.3800000000000003</v>
      </c>
      <c r="X53" s="16"/>
      <c r="Y53" s="17"/>
      <c r="Z53">
        <v>1</v>
      </c>
      <c r="AA53">
        <f t="shared" si="19"/>
        <v>8</v>
      </c>
      <c r="AB53">
        <v>5</v>
      </c>
      <c r="AC53">
        <v>24</v>
      </c>
      <c r="AD53">
        <f t="shared" si="20"/>
        <v>15</v>
      </c>
      <c r="AE53">
        <v>0.4</v>
      </c>
      <c r="AF53">
        <f t="shared" si="21"/>
        <v>0.44000000000000006</v>
      </c>
      <c r="AG53">
        <f t="shared" si="22"/>
        <v>10.560000000000002</v>
      </c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 s="12"/>
    </row>
    <row r="54" spans="1:52" x14ac:dyDescent="0.3">
      <c r="A54" s="19" t="s">
        <v>3</v>
      </c>
      <c r="B54" s="19" t="s">
        <v>132</v>
      </c>
      <c r="C54" s="19">
        <v>5</v>
      </c>
      <c r="D54" s="13" t="str">
        <f t="shared" si="11"/>
        <v>Frenos</v>
      </c>
      <c r="E54" s="22"/>
      <c r="F54" s="22">
        <v>2255</v>
      </c>
      <c r="G54" s="19">
        <f t="shared" si="25"/>
        <v>200</v>
      </c>
      <c r="H54" s="19" t="s">
        <v>125</v>
      </c>
      <c r="I54" s="19" t="s">
        <v>211</v>
      </c>
      <c r="J54" s="13">
        <f t="shared" si="23"/>
        <v>2255</v>
      </c>
      <c r="K54" s="13">
        <f t="shared" si="24"/>
        <v>200</v>
      </c>
      <c r="L54" s="20"/>
      <c r="M54" s="16">
        <v>0.3</v>
      </c>
      <c r="N54" s="16">
        <v>0</v>
      </c>
      <c r="O54" s="16">
        <v>0.3</v>
      </c>
      <c r="P54" s="16">
        <v>0.3</v>
      </c>
      <c r="Q54" s="16">
        <f t="shared" si="14"/>
        <v>0.89999999999999991</v>
      </c>
      <c r="R54" s="20"/>
      <c r="S54" s="16">
        <f t="shared" si="15"/>
        <v>0</v>
      </c>
      <c r="T54" s="20"/>
      <c r="U54" s="16">
        <f t="shared" si="16"/>
        <v>-0.89999999999999991</v>
      </c>
      <c r="V54" s="16">
        <f t="shared" si="17"/>
        <v>-0.53999999999999992</v>
      </c>
      <c r="W54" s="16">
        <f t="shared" si="18"/>
        <v>-0.36</v>
      </c>
      <c r="Y54" s="21"/>
      <c r="Z54" s="22"/>
      <c r="AA54">
        <f t="shared" si="19"/>
        <v>0</v>
      </c>
      <c r="AB54">
        <v>5</v>
      </c>
      <c r="AC54" s="22"/>
      <c r="AD54">
        <f t="shared" si="20"/>
        <v>0</v>
      </c>
      <c r="AE54" s="22">
        <v>0.2</v>
      </c>
      <c r="AF54" s="22">
        <f t="shared" si="21"/>
        <v>0.22000000000000003</v>
      </c>
      <c r="AG54" s="22">
        <f t="shared" si="22"/>
        <v>0</v>
      </c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3"/>
    </row>
    <row r="55" spans="1:52" x14ac:dyDescent="0.3">
      <c r="A55" s="18" t="s">
        <v>3</v>
      </c>
      <c r="B55" s="13" t="s">
        <v>132</v>
      </c>
      <c r="C55" s="13">
        <v>5</v>
      </c>
      <c r="D55" s="13" t="str">
        <f t="shared" si="11"/>
        <v>Frenos</v>
      </c>
      <c r="F55">
        <v>2455</v>
      </c>
      <c r="G55" s="13">
        <f t="shared" si="25"/>
        <v>200</v>
      </c>
      <c r="H55" s="13" t="s">
        <v>82</v>
      </c>
      <c r="I55" s="13" t="s">
        <v>212</v>
      </c>
      <c r="J55" s="13">
        <f t="shared" si="23"/>
        <v>2455</v>
      </c>
      <c r="K55" s="13">
        <f t="shared" si="24"/>
        <v>200</v>
      </c>
      <c r="L55" s="16">
        <v>7.55</v>
      </c>
      <c r="M55" s="16">
        <v>0.3</v>
      </c>
      <c r="N55" s="16">
        <v>0</v>
      </c>
      <c r="O55" s="16">
        <v>0.3</v>
      </c>
      <c r="P55" s="16">
        <v>0.3</v>
      </c>
      <c r="Q55" s="16">
        <f t="shared" si="14"/>
        <v>8.4500000000000011</v>
      </c>
      <c r="R55" s="16">
        <v>18.25</v>
      </c>
      <c r="S55" s="16">
        <f t="shared" si="15"/>
        <v>20.075000000000003</v>
      </c>
      <c r="U55" s="16">
        <f t="shared" si="16"/>
        <v>9.7999999999999989</v>
      </c>
      <c r="V55" s="16">
        <f t="shared" si="17"/>
        <v>5.879999999999999</v>
      </c>
      <c r="W55" s="16">
        <f t="shared" si="18"/>
        <v>3.92</v>
      </c>
      <c r="Z55">
        <v>1</v>
      </c>
      <c r="AA55">
        <f t="shared" si="19"/>
        <v>4</v>
      </c>
      <c r="AB55">
        <v>5</v>
      </c>
      <c r="AC55">
        <v>12</v>
      </c>
      <c r="AD55">
        <f t="shared" si="20"/>
        <v>10</v>
      </c>
      <c r="AE55">
        <v>0.2</v>
      </c>
      <c r="AF55">
        <f t="shared" si="21"/>
        <v>0.22000000000000003</v>
      </c>
      <c r="AG55">
        <f t="shared" si="22"/>
        <v>2.6400000000000006</v>
      </c>
    </row>
    <row r="56" spans="1:52" x14ac:dyDescent="0.3">
      <c r="A56" s="18" t="s">
        <v>3</v>
      </c>
      <c r="B56" s="13" t="s">
        <v>132</v>
      </c>
      <c r="C56" s="13">
        <v>6</v>
      </c>
      <c r="D56" s="13" t="str">
        <f t="shared" si="11"/>
        <v>Mantenimiento y Cuidado</v>
      </c>
      <c r="E56" s="13">
        <v>0</v>
      </c>
      <c r="F56" s="13">
        <v>2022</v>
      </c>
      <c r="G56" s="13">
        <f t="shared" si="25"/>
        <v>1000</v>
      </c>
      <c r="H56" s="13" t="s">
        <v>41</v>
      </c>
      <c r="I56" s="13" t="s">
        <v>213</v>
      </c>
      <c r="J56" s="13">
        <f t="shared" si="23"/>
        <v>2022</v>
      </c>
      <c r="K56" s="13">
        <f t="shared" si="24"/>
        <v>1000</v>
      </c>
      <c r="L56" s="16">
        <v>1.85</v>
      </c>
      <c r="M56" s="16">
        <v>0.3</v>
      </c>
      <c r="N56" s="16">
        <v>0</v>
      </c>
      <c r="O56" s="16">
        <v>0.3</v>
      </c>
      <c r="P56" s="16">
        <v>0.3</v>
      </c>
      <c r="Q56" s="16">
        <f t="shared" si="14"/>
        <v>2.7499999999999996</v>
      </c>
      <c r="R56" s="16">
        <v>1.95</v>
      </c>
      <c r="S56" s="16">
        <f t="shared" si="15"/>
        <v>2.145</v>
      </c>
      <c r="U56" s="16">
        <f t="shared" si="16"/>
        <v>-0.7999999999999996</v>
      </c>
      <c r="V56" s="16">
        <f t="shared" si="17"/>
        <v>-0.47999999999999976</v>
      </c>
      <c r="W56" s="16">
        <f t="shared" si="18"/>
        <v>-0.31999999999999984</v>
      </c>
      <c r="Z56">
        <v>1</v>
      </c>
      <c r="AA56">
        <f t="shared" si="19"/>
        <v>4</v>
      </c>
      <c r="AB56">
        <v>5</v>
      </c>
      <c r="AC56">
        <v>12</v>
      </c>
      <c r="AD56">
        <f t="shared" si="20"/>
        <v>10</v>
      </c>
      <c r="AE56">
        <v>1</v>
      </c>
      <c r="AF56">
        <f t="shared" si="21"/>
        <v>1.1000000000000001</v>
      </c>
      <c r="AG56">
        <f t="shared" si="22"/>
        <v>13.200000000000001</v>
      </c>
    </row>
    <row r="57" spans="1:52" x14ac:dyDescent="0.3">
      <c r="A57" s="18" t="s">
        <v>3</v>
      </c>
      <c r="B57" s="13" t="s">
        <v>132</v>
      </c>
      <c r="C57" s="13">
        <v>6</v>
      </c>
      <c r="D57" s="13" t="str">
        <f t="shared" si="11"/>
        <v>Mantenimiento y Cuidado</v>
      </c>
      <c r="F57">
        <v>2026</v>
      </c>
      <c r="G57" s="13">
        <f t="shared" si="25"/>
        <v>50</v>
      </c>
      <c r="H57" s="13" t="s">
        <v>88</v>
      </c>
      <c r="I57" s="13" t="s">
        <v>214</v>
      </c>
      <c r="J57" s="13">
        <f t="shared" si="23"/>
        <v>2026</v>
      </c>
      <c r="K57" s="13">
        <f t="shared" si="24"/>
        <v>50</v>
      </c>
      <c r="L57" s="16">
        <v>0.55000000000000004</v>
      </c>
      <c r="M57" s="16">
        <v>0.3</v>
      </c>
      <c r="N57" s="16">
        <v>0</v>
      </c>
      <c r="O57" s="16">
        <v>0.3</v>
      </c>
      <c r="P57" s="16">
        <v>0.3</v>
      </c>
      <c r="Q57" s="16">
        <f t="shared" si="14"/>
        <v>1.4500000000000002</v>
      </c>
      <c r="R57" s="16">
        <v>0.65</v>
      </c>
      <c r="S57" s="16">
        <f t="shared" si="15"/>
        <v>0.71500000000000008</v>
      </c>
      <c r="U57" s="16">
        <f t="shared" si="16"/>
        <v>-0.80000000000000016</v>
      </c>
      <c r="V57" s="16">
        <f t="shared" si="17"/>
        <v>-0.48000000000000009</v>
      </c>
      <c r="W57" s="16">
        <f t="shared" si="18"/>
        <v>-0.32000000000000006</v>
      </c>
      <c r="Z57">
        <v>1</v>
      </c>
      <c r="AA57">
        <f t="shared" si="19"/>
        <v>42</v>
      </c>
      <c r="AB57">
        <v>5</v>
      </c>
      <c r="AC57">
        <v>126</v>
      </c>
      <c r="AD57">
        <f t="shared" si="20"/>
        <v>0</v>
      </c>
      <c r="AE57">
        <v>0.05</v>
      </c>
      <c r="AF57">
        <f t="shared" si="21"/>
        <v>5.5000000000000007E-2</v>
      </c>
      <c r="AG57">
        <f t="shared" si="22"/>
        <v>6.9300000000000006</v>
      </c>
    </row>
    <row r="58" spans="1:52" x14ac:dyDescent="0.3">
      <c r="A58" s="19" t="s">
        <v>3</v>
      </c>
      <c r="B58" s="19" t="s">
        <v>132</v>
      </c>
      <c r="C58" s="19">
        <v>6</v>
      </c>
      <c r="D58" s="13" t="str">
        <f t="shared" si="11"/>
        <v>Mantenimiento y Cuidado</v>
      </c>
      <c r="E58" s="22"/>
      <c r="F58" s="22">
        <v>2040</v>
      </c>
      <c r="G58" s="19">
        <f t="shared" si="25"/>
        <v>400</v>
      </c>
      <c r="H58" s="19" t="s">
        <v>94</v>
      </c>
      <c r="I58" s="19" t="s">
        <v>301</v>
      </c>
      <c r="J58" s="13">
        <f t="shared" si="23"/>
        <v>2040</v>
      </c>
      <c r="K58" s="13">
        <f t="shared" si="24"/>
        <v>400</v>
      </c>
      <c r="L58" s="24"/>
      <c r="M58" s="16">
        <v>0.3</v>
      </c>
      <c r="N58" s="16">
        <v>0</v>
      </c>
      <c r="O58" s="16">
        <v>0.3</v>
      </c>
      <c r="P58" s="16">
        <v>0.3</v>
      </c>
      <c r="Q58" s="16">
        <f t="shared" si="14"/>
        <v>0.89999999999999991</v>
      </c>
      <c r="R58" s="20">
        <v>6.35</v>
      </c>
      <c r="S58" s="16">
        <f t="shared" si="15"/>
        <v>6.9850000000000003</v>
      </c>
      <c r="T58" s="20"/>
      <c r="U58" s="16">
        <f t="shared" si="16"/>
        <v>5.4499999999999993</v>
      </c>
      <c r="V58" s="16">
        <f t="shared" si="17"/>
        <v>3.2699999999999996</v>
      </c>
      <c r="W58" s="16">
        <f t="shared" si="18"/>
        <v>2.1799999999999997</v>
      </c>
      <c r="Y58" s="21"/>
      <c r="Z58" s="22"/>
      <c r="AA58">
        <f t="shared" si="19"/>
        <v>0</v>
      </c>
      <c r="AB58">
        <v>5</v>
      </c>
      <c r="AC58" s="22"/>
      <c r="AD58">
        <f t="shared" si="20"/>
        <v>0</v>
      </c>
      <c r="AE58" s="22">
        <v>0.4</v>
      </c>
      <c r="AF58" s="22">
        <f t="shared" si="21"/>
        <v>0.44000000000000006</v>
      </c>
      <c r="AG58" s="22">
        <f t="shared" si="22"/>
        <v>0</v>
      </c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3"/>
    </row>
    <row r="59" spans="1:52" x14ac:dyDescent="0.3">
      <c r="A59" s="18" t="s">
        <v>3</v>
      </c>
      <c r="B59" s="13" t="s">
        <v>132</v>
      </c>
      <c r="C59" s="13">
        <v>6</v>
      </c>
      <c r="D59" s="13" t="str">
        <f t="shared" si="11"/>
        <v>Mantenimiento y Cuidado</v>
      </c>
      <c r="F59">
        <v>2041</v>
      </c>
      <c r="G59" s="13">
        <f t="shared" si="25"/>
        <v>400</v>
      </c>
      <c r="H59" s="13" t="s">
        <v>89</v>
      </c>
      <c r="I59" t="s">
        <v>215</v>
      </c>
      <c r="J59" s="13">
        <f t="shared" si="23"/>
        <v>2041</v>
      </c>
      <c r="K59" s="13">
        <f t="shared" si="24"/>
        <v>400</v>
      </c>
      <c r="L59" s="16">
        <v>3.7</v>
      </c>
      <c r="M59" s="16">
        <v>0.3</v>
      </c>
      <c r="N59" s="16">
        <v>0</v>
      </c>
      <c r="O59" s="16">
        <v>0.3</v>
      </c>
      <c r="P59" s="16">
        <v>0.3</v>
      </c>
      <c r="Q59" s="16">
        <f t="shared" si="14"/>
        <v>4.5999999999999996</v>
      </c>
      <c r="R59" s="16">
        <v>10.199999999999999</v>
      </c>
      <c r="S59" s="16">
        <f t="shared" si="15"/>
        <v>11.22</v>
      </c>
      <c r="U59" s="16">
        <f t="shared" si="16"/>
        <v>5.6</v>
      </c>
      <c r="V59" s="16">
        <f t="shared" si="17"/>
        <v>3.36</v>
      </c>
      <c r="W59" s="16">
        <f t="shared" si="18"/>
        <v>2.2399999999999998</v>
      </c>
      <c r="Z59">
        <v>1</v>
      </c>
      <c r="AA59">
        <f t="shared" si="19"/>
        <v>8</v>
      </c>
      <c r="AB59">
        <v>5</v>
      </c>
      <c r="AC59">
        <v>24</v>
      </c>
      <c r="AD59">
        <f t="shared" si="20"/>
        <v>15</v>
      </c>
      <c r="AE59">
        <v>0.4</v>
      </c>
      <c r="AF59">
        <f t="shared" si="21"/>
        <v>0.44000000000000006</v>
      </c>
      <c r="AG59">
        <f t="shared" si="22"/>
        <v>10.560000000000002</v>
      </c>
    </row>
    <row r="60" spans="1:52" x14ac:dyDescent="0.3">
      <c r="A60" s="18" t="s">
        <v>3</v>
      </c>
      <c r="B60" s="13" t="s">
        <v>132</v>
      </c>
      <c r="C60" s="13">
        <v>6</v>
      </c>
      <c r="D60" s="13" t="str">
        <f t="shared" si="11"/>
        <v>Mantenimiento y Cuidado</v>
      </c>
      <c r="F60">
        <v>2042</v>
      </c>
      <c r="G60" s="13">
        <f t="shared" si="25"/>
        <v>400</v>
      </c>
      <c r="H60" s="13" t="s">
        <v>90</v>
      </c>
      <c r="I60" t="s">
        <v>216</v>
      </c>
      <c r="J60" s="13">
        <f t="shared" si="23"/>
        <v>2042</v>
      </c>
      <c r="K60" s="13">
        <f t="shared" si="24"/>
        <v>400</v>
      </c>
      <c r="L60" s="16">
        <v>3.85</v>
      </c>
      <c r="M60" s="16">
        <v>0.3</v>
      </c>
      <c r="N60" s="16">
        <v>0</v>
      </c>
      <c r="O60" s="16">
        <v>0.3</v>
      </c>
      <c r="P60" s="16">
        <v>0.3</v>
      </c>
      <c r="Q60" s="16">
        <f t="shared" si="14"/>
        <v>4.75</v>
      </c>
      <c r="R60" s="16">
        <v>7.95</v>
      </c>
      <c r="S60" s="16">
        <f t="shared" si="15"/>
        <v>8.745000000000001</v>
      </c>
      <c r="U60" s="16">
        <f t="shared" si="16"/>
        <v>3.2</v>
      </c>
      <c r="V60" s="16">
        <f t="shared" si="17"/>
        <v>1.92</v>
      </c>
      <c r="W60" s="16">
        <f t="shared" si="18"/>
        <v>1.2800000000000002</v>
      </c>
      <c r="Z60">
        <v>1</v>
      </c>
      <c r="AA60">
        <f t="shared" si="19"/>
        <v>8</v>
      </c>
      <c r="AB60">
        <v>5</v>
      </c>
      <c r="AC60">
        <v>24</v>
      </c>
      <c r="AD60">
        <f t="shared" si="20"/>
        <v>15</v>
      </c>
      <c r="AE60">
        <v>0.4</v>
      </c>
      <c r="AF60">
        <f t="shared" si="21"/>
        <v>0.44000000000000006</v>
      </c>
      <c r="AG60">
        <f t="shared" si="22"/>
        <v>10.560000000000002</v>
      </c>
    </row>
    <row r="61" spans="1:52" x14ac:dyDescent="0.3">
      <c r="A61" s="18" t="s">
        <v>3</v>
      </c>
      <c r="B61" s="13" t="s">
        <v>132</v>
      </c>
      <c r="C61" s="13">
        <v>6</v>
      </c>
      <c r="D61" s="13" t="str">
        <f t="shared" si="11"/>
        <v>Mantenimiento y Cuidado</v>
      </c>
      <c r="F61">
        <v>2043</v>
      </c>
      <c r="G61" s="13">
        <f t="shared" si="25"/>
        <v>400</v>
      </c>
      <c r="H61" s="13" t="s">
        <v>91</v>
      </c>
      <c r="I61" t="s">
        <v>217</v>
      </c>
      <c r="J61" s="13">
        <f t="shared" si="23"/>
        <v>2043</v>
      </c>
      <c r="K61" s="13">
        <f t="shared" si="24"/>
        <v>400</v>
      </c>
      <c r="L61" s="16">
        <v>3.15</v>
      </c>
      <c r="M61" s="16">
        <v>0.3</v>
      </c>
      <c r="N61" s="16">
        <v>0</v>
      </c>
      <c r="O61" s="16">
        <v>0.3</v>
      </c>
      <c r="P61" s="16">
        <v>0.3</v>
      </c>
      <c r="Q61" s="16">
        <f t="shared" si="14"/>
        <v>4.05</v>
      </c>
      <c r="R61" s="16">
        <v>7.8</v>
      </c>
      <c r="S61" s="16">
        <f t="shared" si="15"/>
        <v>8.58</v>
      </c>
      <c r="U61" s="16">
        <f t="shared" si="16"/>
        <v>3.75</v>
      </c>
      <c r="V61" s="16">
        <f t="shared" si="17"/>
        <v>2.25</v>
      </c>
      <c r="W61" s="16">
        <f t="shared" si="18"/>
        <v>1.5</v>
      </c>
      <c r="Z61">
        <v>1</v>
      </c>
      <c r="AA61">
        <f t="shared" si="19"/>
        <v>8</v>
      </c>
      <c r="AB61">
        <v>5</v>
      </c>
      <c r="AC61">
        <v>24</v>
      </c>
      <c r="AD61">
        <f t="shared" si="20"/>
        <v>15</v>
      </c>
      <c r="AE61">
        <v>0.4</v>
      </c>
      <c r="AF61">
        <f t="shared" si="21"/>
        <v>0.44000000000000006</v>
      </c>
      <c r="AG61">
        <f t="shared" si="22"/>
        <v>10.560000000000002</v>
      </c>
    </row>
    <row r="62" spans="1:52" x14ac:dyDescent="0.3">
      <c r="A62" s="18" t="s">
        <v>3</v>
      </c>
      <c r="B62" s="13" t="s">
        <v>132</v>
      </c>
      <c r="C62" s="13">
        <v>6</v>
      </c>
      <c r="D62" s="13" t="str">
        <f t="shared" si="11"/>
        <v>Mantenimiento y Cuidado</v>
      </c>
      <c r="F62">
        <v>2045</v>
      </c>
      <c r="G62" s="13">
        <f t="shared" si="25"/>
        <v>400</v>
      </c>
      <c r="H62" s="13" t="s">
        <v>92</v>
      </c>
      <c r="I62" t="s">
        <v>218</v>
      </c>
      <c r="J62" s="13">
        <f t="shared" si="23"/>
        <v>2045</v>
      </c>
      <c r="K62" s="13">
        <f t="shared" si="24"/>
        <v>400</v>
      </c>
      <c r="L62" s="16">
        <v>3.9</v>
      </c>
      <c r="M62" s="16">
        <v>0.3</v>
      </c>
      <c r="N62" s="16">
        <v>0</v>
      </c>
      <c r="O62" s="16">
        <v>0.3</v>
      </c>
      <c r="P62" s="16">
        <v>0.3</v>
      </c>
      <c r="Q62" s="16">
        <f t="shared" si="14"/>
        <v>4.8</v>
      </c>
      <c r="R62" s="16">
        <v>9.5</v>
      </c>
      <c r="S62" s="16">
        <f t="shared" si="15"/>
        <v>10.450000000000001</v>
      </c>
      <c r="U62" s="16">
        <f t="shared" si="16"/>
        <v>4.7</v>
      </c>
      <c r="V62" s="16">
        <f t="shared" si="17"/>
        <v>2.82</v>
      </c>
      <c r="W62" s="16">
        <f t="shared" si="18"/>
        <v>1.8800000000000001</v>
      </c>
      <c r="Z62">
        <v>1</v>
      </c>
      <c r="AA62">
        <f t="shared" si="19"/>
        <v>8</v>
      </c>
      <c r="AB62">
        <v>5</v>
      </c>
      <c r="AC62">
        <v>24</v>
      </c>
      <c r="AD62">
        <f t="shared" si="20"/>
        <v>15</v>
      </c>
      <c r="AE62">
        <v>0.4</v>
      </c>
      <c r="AF62">
        <f t="shared" si="21"/>
        <v>0.44000000000000006</v>
      </c>
      <c r="AG62">
        <f t="shared" si="22"/>
        <v>10.560000000000002</v>
      </c>
    </row>
    <row r="63" spans="1:52" x14ac:dyDescent="0.3">
      <c r="A63" s="18" t="s">
        <v>3</v>
      </c>
      <c r="B63" s="13" t="s">
        <v>132</v>
      </c>
      <c r="C63" s="13">
        <v>6</v>
      </c>
      <c r="D63" s="13" t="str">
        <f t="shared" si="11"/>
        <v>Mantenimiento y Cuidado</v>
      </c>
      <c r="F63">
        <v>2246</v>
      </c>
      <c r="G63" s="13">
        <f t="shared" si="25"/>
        <v>400</v>
      </c>
      <c r="H63" s="13" t="s">
        <v>93</v>
      </c>
      <c r="I63" t="s">
        <v>219</v>
      </c>
      <c r="J63" s="13">
        <f t="shared" si="23"/>
        <v>2246</v>
      </c>
      <c r="K63" s="13">
        <f t="shared" si="24"/>
        <v>400</v>
      </c>
      <c r="L63" s="16">
        <v>3.75</v>
      </c>
      <c r="M63" s="16">
        <v>0.3</v>
      </c>
      <c r="N63" s="16">
        <v>0</v>
      </c>
      <c r="O63" s="16">
        <v>0.3</v>
      </c>
      <c r="P63" s="16">
        <v>0.3</v>
      </c>
      <c r="Q63" s="16">
        <f t="shared" si="14"/>
        <v>4.6499999999999995</v>
      </c>
      <c r="R63" s="16">
        <v>7.9</v>
      </c>
      <c r="S63" s="16">
        <f t="shared" si="15"/>
        <v>8.6900000000000013</v>
      </c>
      <c r="U63" s="16">
        <f t="shared" si="16"/>
        <v>3.2500000000000009</v>
      </c>
      <c r="V63" s="16">
        <f t="shared" si="17"/>
        <v>1.9500000000000004</v>
      </c>
      <c r="W63" s="16">
        <f t="shared" si="18"/>
        <v>1.3000000000000005</v>
      </c>
      <c r="Z63">
        <v>1</v>
      </c>
      <c r="AA63">
        <f t="shared" si="19"/>
        <v>8</v>
      </c>
      <c r="AB63">
        <v>5</v>
      </c>
      <c r="AC63">
        <v>24</v>
      </c>
      <c r="AD63">
        <f t="shared" si="20"/>
        <v>15</v>
      </c>
      <c r="AE63">
        <v>0.4</v>
      </c>
      <c r="AF63">
        <f t="shared" si="21"/>
        <v>0.44000000000000006</v>
      </c>
      <c r="AG63">
        <f t="shared" si="22"/>
        <v>10.560000000000002</v>
      </c>
    </row>
    <row r="64" spans="1:52" s="22" customFormat="1" ht="15.6" x14ac:dyDescent="0.35">
      <c r="A64" s="18" t="s">
        <v>3</v>
      </c>
      <c r="B64" s="13" t="s">
        <v>132</v>
      </c>
      <c r="C64" s="13">
        <v>6</v>
      </c>
      <c r="D64" s="13" t="str">
        <f t="shared" si="11"/>
        <v>Mantenimiento y Cuidado</v>
      </c>
      <c r="E64"/>
      <c r="F64">
        <v>2048</v>
      </c>
      <c r="G64" s="13">
        <f t="shared" si="25"/>
        <v>400</v>
      </c>
      <c r="H64" s="13" t="s">
        <v>220</v>
      </c>
      <c r="I64" s="13" t="s">
        <v>221</v>
      </c>
      <c r="J64" s="13">
        <f t="shared" si="23"/>
        <v>2048</v>
      </c>
      <c r="K64" s="13">
        <f t="shared" si="24"/>
        <v>400</v>
      </c>
      <c r="L64" s="16">
        <v>2.35</v>
      </c>
      <c r="M64" s="16">
        <v>0.3</v>
      </c>
      <c r="N64" s="16">
        <v>0</v>
      </c>
      <c r="O64" s="16">
        <v>0.3</v>
      </c>
      <c r="P64" s="16">
        <v>0.3</v>
      </c>
      <c r="Q64" s="16">
        <f t="shared" si="14"/>
        <v>3.2499999999999996</v>
      </c>
      <c r="R64" s="16">
        <v>4.55</v>
      </c>
      <c r="S64" s="16">
        <f t="shared" si="15"/>
        <v>5.0049999999999999</v>
      </c>
      <c r="T64" s="16"/>
      <c r="U64" s="16">
        <f t="shared" si="16"/>
        <v>1.3000000000000003</v>
      </c>
      <c r="V64" s="16">
        <f t="shared" si="17"/>
        <v>0.78000000000000014</v>
      </c>
      <c r="W64" s="16">
        <f t="shared" si="18"/>
        <v>0.52000000000000013</v>
      </c>
      <c r="X64" s="16"/>
      <c r="Y64" s="17"/>
      <c r="Z64">
        <v>1</v>
      </c>
      <c r="AA64">
        <f t="shared" si="19"/>
        <v>8</v>
      </c>
      <c r="AB64">
        <v>5</v>
      </c>
      <c r="AC64">
        <v>24</v>
      </c>
      <c r="AD64">
        <f t="shared" si="20"/>
        <v>15</v>
      </c>
      <c r="AE64">
        <v>0.4</v>
      </c>
      <c r="AF64">
        <f t="shared" si="21"/>
        <v>0.44000000000000006</v>
      </c>
      <c r="AG64">
        <f t="shared" si="22"/>
        <v>10.560000000000002</v>
      </c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 s="12"/>
    </row>
    <row r="65" spans="1:52" x14ac:dyDescent="0.3">
      <c r="A65" s="18" t="s">
        <v>3</v>
      </c>
      <c r="B65" s="13" t="s">
        <v>132</v>
      </c>
      <c r="C65" s="13">
        <v>6</v>
      </c>
      <c r="D65" s="13" t="str">
        <f t="shared" si="11"/>
        <v>Mantenimiento y Cuidado</v>
      </c>
      <c r="F65">
        <v>2047</v>
      </c>
      <c r="G65" s="13">
        <f t="shared" si="25"/>
        <v>400</v>
      </c>
      <c r="H65" s="13" t="s">
        <v>96</v>
      </c>
      <c r="I65" s="13" t="s">
        <v>222</v>
      </c>
      <c r="J65" s="13">
        <f t="shared" si="23"/>
        <v>2047</v>
      </c>
      <c r="K65" s="13">
        <f t="shared" si="24"/>
        <v>400</v>
      </c>
      <c r="L65" s="16">
        <v>2.5</v>
      </c>
      <c r="M65" s="16">
        <v>0.3</v>
      </c>
      <c r="N65" s="16">
        <v>0</v>
      </c>
      <c r="O65" s="16">
        <v>0.3</v>
      </c>
      <c r="P65" s="16">
        <v>0.3</v>
      </c>
      <c r="Q65" s="16">
        <f t="shared" ref="Q65:Q96" si="26">+L65+M65+N65+O65+P65</f>
        <v>3.3999999999999995</v>
      </c>
      <c r="R65" s="16">
        <v>4.8499999999999996</v>
      </c>
      <c r="S65" s="16">
        <f t="shared" ref="S65:S96" si="27">R65*1.1</f>
        <v>5.335</v>
      </c>
      <c r="U65" s="16">
        <f t="shared" ref="U65:U96" si="28">R65-Q65</f>
        <v>1.4500000000000002</v>
      </c>
      <c r="V65" s="16">
        <f t="shared" ref="V65:V96" si="29">U65*0.6</f>
        <v>0.87000000000000011</v>
      </c>
      <c r="W65" s="16">
        <f t="shared" ref="W65:W96" si="30">U65*0.4</f>
        <v>0.58000000000000007</v>
      </c>
      <c r="Z65">
        <v>1</v>
      </c>
      <c r="AA65">
        <f t="shared" ref="AA65:AA96" si="31">INT(AC65/3)</f>
        <v>8</v>
      </c>
      <c r="AB65">
        <v>5</v>
      </c>
      <c r="AC65">
        <v>24</v>
      </c>
      <c r="AD65">
        <f t="shared" ref="AD65:AD96" si="32">IF(AC65=24,15,IF(AC65=12,10,0))</f>
        <v>15</v>
      </c>
      <c r="AE65">
        <v>0.4</v>
      </c>
      <c r="AF65">
        <f t="shared" ref="AF65:AF96" si="33">AE65*1.1</f>
        <v>0.44000000000000006</v>
      </c>
      <c r="AG65">
        <f t="shared" ref="AG65:AG96" si="34">AF65*AC65</f>
        <v>10.560000000000002</v>
      </c>
    </row>
    <row r="66" spans="1:52" x14ac:dyDescent="0.3">
      <c r="A66" s="18" t="s">
        <v>3</v>
      </c>
      <c r="B66" s="13" t="s">
        <v>132</v>
      </c>
      <c r="C66" s="13">
        <v>6</v>
      </c>
      <c r="D66" s="13" t="str">
        <f t="shared" si="11"/>
        <v>Mantenimiento y Cuidado</v>
      </c>
      <c r="F66">
        <v>2053</v>
      </c>
      <c r="G66" s="13">
        <f t="shared" si="25"/>
        <v>400</v>
      </c>
      <c r="H66" s="13" t="s">
        <v>98</v>
      </c>
      <c r="I66" s="13" t="s">
        <v>330</v>
      </c>
      <c r="J66" s="13">
        <f t="shared" si="23"/>
        <v>2053</v>
      </c>
      <c r="K66" s="13">
        <f t="shared" si="24"/>
        <v>400</v>
      </c>
      <c r="L66" s="16">
        <v>3.5</v>
      </c>
      <c r="M66" s="16">
        <v>0.3</v>
      </c>
      <c r="N66" s="16">
        <v>0</v>
      </c>
      <c r="O66" s="16">
        <v>0.3</v>
      </c>
      <c r="P66" s="16">
        <v>0.3</v>
      </c>
      <c r="Q66" s="16">
        <f t="shared" si="26"/>
        <v>4.3999999999999995</v>
      </c>
      <c r="R66" s="16">
        <v>8.5500000000000007</v>
      </c>
      <c r="S66" s="16">
        <f t="shared" si="27"/>
        <v>9.4050000000000011</v>
      </c>
      <c r="U66" s="16">
        <f t="shared" si="28"/>
        <v>4.1500000000000012</v>
      </c>
      <c r="V66" s="16">
        <f t="shared" si="29"/>
        <v>2.4900000000000007</v>
      </c>
      <c r="W66" s="16">
        <f t="shared" si="30"/>
        <v>1.6600000000000006</v>
      </c>
      <c r="Z66">
        <v>1</v>
      </c>
      <c r="AA66">
        <f t="shared" si="31"/>
        <v>8</v>
      </c>
      <c r="AB66">
        <v>5</v>
      </c>
      <c r="AC66">
        <v>24</v>
      </c>
      <c r="AD66">
        <f t="shared" si="32"/>
        <v>15</v>
      </c>
      <c r="AE66">
        <v>0.4</v>
      </c>
      <c r="AF66">
        <f t="shared" si="33"/>
        <v>0.44000000000000006</v>
      </c>
      <c r="AG66">
        <f t="shared" si="34"/>
        <v>10.560000000000002</v>
      </c>
    </row>
    <row r="67" spans="1:52" x14ac:dyDescent="0.3">
      <c r="A67" s="18" t="s">
        <v>3</v>
      </c>
      <c r="B67" s="13" t="s">
        <v>132</v>
      </c>
      <c r="C67" s="13">
        <v>6</v>
      </c>
      <c r="D67" s="13" t="str">
        <f t="shared" ref="D67:D131" si="35">IF(C67=1,"Motor y Transmisión",IF(C67=2,"Refrigeración",IF(C67=3,"Climatización",IF(C67=4,"Sistema de Combustión",IF(C67=5,"Frenos",IF(C67=6,"Mantenimiento y Cuidado",IF(C67=7,"Carrocería","")))))))</f>
        <v>Mantenimiento y Cuidado</v>
      </c>
      <c r="F67">
        <v>2054</v>
      </c>
      <c r="G67" s="13">
        <f t="shared" si="25"/>
        <v>400</v>
      </c>
      <c r="H67" s="13" t="s">
        <v>99</v>
      </c>
      <c r="I67" s="13" t="s">
        <v>224</v>
      </c>
      <c r="J67" s="13">
        <f t="shared" si="23"/>
        <v>2054</v>
      </c>
      <c r="K67" s="13">
        <f t="shared" si="24"/>
        <v>400</v>
      </c>
      <c r="L67" s="16">
        <v>4.8</v>
      </c>
      <c r="M67" s="16">
        <v>0.3</v>
      </c>
      <c r="N67" s="16">
        <v>0</v>
      </c>
      <c r="O67" s="16">
        <v>0.3</v>
      </c>
      <c r="P67" s="16">
        <v>0.3</v>
      </c>
      <c r="Q67" s="16">
        <f t="shared" si="26"/>
        <v>5.6999999999999993</v>
      </c>
      <c r="R67" s="16">
        <v>11.2</v>
      </c>
      <c r="S67" s="16">
        <f t="shared" si="27"/>
        <v>12.32</v>
      </c>
      <c r="U67" s="16">
        <f t="shared" si="28"/>
        <v>5.5</v>
      </c>
      <c r="V67" s="16">
        <f t="shared" si="29"/>
        <v>3.3</v>
      </c>
      <c r="W67" s="16">
        <f t="shared" si="30"/>
        <v>2.2000000000000002</v>
      </c>
      <c r="Z67">
        <v>1</v>
      </c>
      <c r="AA67">
        <f t="shared" si="31"/>
        <v>8</v>
      </c>
      <c r="AB67">
        <v>5</v>
      </c>
      <c r="AC67">
        <v>24</v>
      </c>
      <c r="AD67">
        <f t="shared" si="32"/>
        <v>15</v>
      </c>
      <c r="AE67">
        <v>0.4</v>
      </c>
      <c r="AF67">
        <f t="shared" si="33"/>
        <v>0.44000000000000006</v>
      </c>
      <c r="AG67">
        <f t="shared" si="34"/>
        <v>10.560000000000002</v>
      </c>
    </row>
    <row r="68" spans="1:52" x14ac:dyDescent="0.3">
      <c r="A68" s="18" t="s">
        <v>3</v>
      </c>
      <c r="B68" s="13" t="s">
        <v>132</v>
      </c>
      <c r="C68" s="13">
        <v>6</v>
      </c>
      <c r="D68" s="13" t="str">
        <f t="shared" si="35"/>
        <v>Mantenimiento y Cuidado</v>
      </c>
      <c r="F68">
        <v>2056</v>
      </c>
      <c r="G68" s="13">
        <f t="shared" si="25"/>
        <v>400</v>
      </c>
      <c r="H68" s="13" t="s">
        <v>100</v>
      </c>
      <c r="I68" s="13" t="s">
        <v>225</v>
      </c>
      <c r="J68" s="13">
        <f t="shared" si="23"/>
        <v>2056</v>
      </c>
      <c r="K68" s="13">
        <f t="shared" si="24"/>
        <v>400</v>
      </c>
      <c r="L68" s="16">
        <v>4.8</v>
      </c>
      <c r="M68" s="16">
        <v>0.3</v>
      </c>
      <c r="N68" s="16">
        <v>0</v>
      </c>
      <c r="O68" s="16">
        <v>0.3</v>
      </c>
      <c r="P68" s="16">
        <v>0.3</v>
      </c>
      <c r="Q68" s="16">
        <f t="shared" si="26"/>
        <v>5.6999999999999993</v>
      </c>
      <c r="R68" s="16">
        <v>11</v>
      </c>
      <c r="S68" s="16">
        <f t="shared" si="27"/>
        <v>12.100000000000001</v>
      </c>
      <c r="U68" s="16">
        <f t="shared" si="28"/>
        <v>5.3000000000000007</v>
      </c>
      <c r="V68" s="16">
        <f t="shared" si="29"/>
        <v>3.18</v>
      </c>
      <c r="W68" s="16">
        <f t="shared" si="30"/>
        <v>2.1200000000000006</v>
      </c>
      <c r="Z68">
        <v>1</v>
      </c>
      <c r="AA68">
        <f t="shared" si="31"/>
        <v>8</v>
      </c>
      <c r="AB68">
        <v>5</v>
      </c>
      <c r="AC68">
        <v>24</v>
      </c>
      <c r="AD68">
        <f t="shared" si="32"/>
        <v>15</v>
      </c>
      <c r="AE68">
        <v>0.4</v>
      </c>
      <c r="AF68">
        <f t="shared" si="33"/>
        <v>0.44000000000000006</v>
      </c>
      <c r="AG68">
        <f t="shared" si="34"/>
        <v>10.560000000000002</v>
      </c>
    </row>
    <row r="69" spans="1:52" x14ac:dyDescent="0.3">
      <c r="A69" s="18" t="s">
        <v>3</v>
      </c>
      <c r="B69" s="13" t="s">
        <v>132</v>
      </c>
      <c r="C69" s="13">
        <v>6</v>
      </c>
      <c r="D69" s="13" t="str">
        <f t="shared" si="35"/>
        <v>Mantenimiento y Cuidado</v>
      </c>
      <c r="F69">
        <v>2059</v>
      </c>
      <c r="G69" s="13">
        <f t="shared" si="25"/>
        <v>400</v>
      </c>
      <c r="H69" s="13" t="s">
        <v>101</v>
      </c>
      <c r="I69" t="s">
        <v>226</v>
      </c>
      <c r="J69" s="13">
        <f t="shared" si="23"/>
        <v>2059</v>
      </c>
      <c r="K69" s="13">
        <f t="shared" si="24"/>
        <v>400</v>
      </c>
      <c r="L69" s="16">
        <v>3.9</v>
      </c>
      <c r="M69" s="16">
        <v>0.3</v>
      </c>
      <c r="N69" s="16">
        <v>0</v>
      </c>
      <c r="O69" s="16">
        <v>0.3</v>
      </c>
      <c r="P69" s="16">
        <v>0.3</v>
      </c>
      <c r="Q69" s="16">
        <f t="shared" si="26"/>
        <v>4.8</v>
      </c>
      <c r="R69" s="16">
        <v>6.35</v>
      </c>
      <c r="S69" s="16">
        <f t="shared" si="27"/>
        <v>6.9850000000000003</v>
      </c>
      <c r="U69" s="16">
        <f t="shared" si="28"/>
        <v>1.5499999999999998</v>
      </c>
      <c r="V69" s="16">
        <f t="shared" si="29"/>
        <v>0.92999999999999983</v>
      </c>
      <c r="W69" s="16">
        <f t="shared" si="30"/>
        <v>0.62</v>
      </c>
      <c r="Z69">
        <v>1</v>
      </c>
      <c r="AA69">
        <f t="shared" si="31"/>
        <v>8</v>
      </c>
      <c r="AB69">
        <v>5</v>
      </c>
      <c r="AC69">
        <v>24</v>
      </c>
      <c r="AD69">
        <f t="shared" si="32"/>
        <v>15</v>
      </c>
      <c r="AE69">
        <v>0.4</v>
      </c>
      <c r="AF69">
        <f t="shared" si="33"/>
        <v>0.44000000000000006</v>
      </c>
      <c r="AG69">
        <f t="shared" si="34"/>
        <v>10.560000000000002</v>
      </c>
    </row>
    <row r="70" spans="1:52" x14ac:dyDescent="0.3">
      <c r="A70" s="18" t="s">
        <v>3</v>
      </c>
      <c r="B70" s="13" t="s">
        <v>132</v>
      </c>
      <c r="C70" s="13">
        <v>6</v>
      </c>
      <c r="D70" s="13" t="str">
        <f t="shared" si="35"/>
        <v>Mantenimiento y Cuidado</v>
      </c>
      <c r="F70">
        <v>2060</v>
      </c>
      <c r="G70" s="13">
        <v>400</v>
      </c>
      <c r="H70" s="13" t="s">
        <v>102</v>
      </c>
      <c r="I70" s="13" t="s">
        <v>331</v>
      </c>
      <c r="J70" s="13">
        <f t="shared" si="23"/>
        <v>2060</v>
      </c>
      <c r="K70" s="13">
        <f t="shared" si="24"/>
        <v>400</v>
      </c>
      <c r="L70" s="16">
        <v>1.9</v>
      </c>
      <c r="M70" s="16">
        <v>0.3</v>
      </c>
      <c r="N70" s="16">
        <v>0</v>
      </c>
      <c r="O70" s="16">
        <v>0.3</v>
      </c>
      <c r="P70" s="16">
        <v>0.3</v>
      </c>
      <c r="Q70" s="16">
        <f t="shared" si="26"/>
        <v>2.7999999999999994</v>
      </c>
      <c r="R70" s="16">
        <v>3.85</v>
      </c>
      <c r="S70" s="16">
        <f t="shared" si="27"/>
        <v>4.2350000000000003</v>
      </c>
      <c r="U70" s="16">
        <f t="shared" si="28"/>
        <v>1.0500000000000007</v>
      </c>
      <c r="V70" s="16">
        <f t="shared" si="29"/>
        <v>0.63000000000000045</v>
      </c>
      <c r="W70" s="16">
        <f t="shared" si="30"/>
        <v>0.42000000000000032</v>
      </c>
      <c r="Z70">
        <v>1</v>
      </c>
      <c r="AA70">
        <f t="shared" si="31"/>
        <v>4</v>
      </c>
      <c r="AB70">
        <v>5</v>
      </c>
      <c r="AC70">
        <v>12</v>
      </c>
      <c r="AD70">
        <f t="shared" si="32"/>
        <v>10</v>
      </c>
      <c r="AE70">
        <v>0.6</v>
      </c>
      <c r="AF70">
        <f t="shared" si="33"/>
        <v>0.66</v>
      </c>
      <c r="AG70">
        <f t="shared" si="34"/>
        <v>7.92</v>
      </c>
    </row>
    <row r="71" spans="1:52" x14ac:dyDescent="0.3">
      <c r="A71" s="18" t="s">
        <v>3</v>
      </c>
      <c r="B71" s="13" t="s">
        <v>132</v>
      </c>
      <c r="C71" s="13">
        <v>6</v>
      </c>
      <c r="D71" s="13" t="str">
        <f t="shared" si="35"/>
        <v>Mantenimiento y Cuidado</v>
      </c>
      <c r="F71">
        <v>2063</v>
      </c>
      <c r="G71" s="13">
        <f t="shared" ref="G71:G102" si="36">AE71*1000</f>
        <v>30000</v>
      </c>
      <c r="H71" s="13" t="s">
        <v>102</v>
      </c>
      <c r="I71" s="13" t="s">
        <v>303</v>
      </c>
      <c r="J71" s="13">
        <f t="shared" si="23"/>
        <v>2063</v>
      </c>
      <c r="K71" s="13">
        <f t="shared" si="24"/>
        <v>30000</v>
      </c>
      <c r="L71" s="16">
        <v>70.5</v>
      </c>
      <c r="M71" s="16">
        <v>0.3</v>
      </c>
      <c r="N71" s="16">
        <v>0</v>
      </c>
      <c r="O71" s="16">
        <v>0.3</v>
      </c>
      <c r="P71" s="16">
        <v>0.3</v>
      </c>
      <c r="Q71" s="16">
        <f t="shared" si="26"/>
        <v>71.399999999999991</v>
      </c>
      <c r="R71" s="16">
        <v>75</v>
      </c>
      <c r="S71" s="16">
        <f t="shared" si="27"/>
        <v>82.5</v>
      </c>
      <c r="U71" s="16">
        <f t="shared" si="28"/>
        <v>3.6000000000000085</v>
      </c>
      <c r="V71" s="16">
        <f t="shared" si="29"/>
        <v>2.160000000000005</v>
      </c>
      <c r="W71" s="16">
        <f t="shared" si="30"/>
        <v>1.4400000000000035</v>
      </c>
      <c r="Z71">
        <v>1</v>
      </c>
      <c r="AA71">
        <f t="shared" si="31"/>
        <v>0</v>
      </c>
      <c r="AB71">
        <v>5</v>
      </c>
      <c r="AC71">
        <v>1</v>
      </c>
      <c r="AD71">
        <f t="shared" si="32"/>
        <v>0</v>
      </c>
      <c r="AE71">
        <v>30</v>
      </c>
      <c r="AF71">
        <f t="shared" si="33"/>
        <v>33</v>
      </c>
      <c r="AG71">
        <f t="shared" si="34"/>
        <v>33</v>
      </c>
    </row>
    <row r="72" spans="1:52" x14ac:dyDescent="0.3">
      <c r="A72" s="19" t="s">
        <v>3</v>
      </c>
      <c r="B72" s="19" t="s">
        <v>132</v>
      </c>
      <c r="C72" s="19">
        <v>6</v>
      </c>
      <c r="D72" s="13" t="str">
        <f t="shared" si="35"/>
        <v>Mantenimiento y Cuidado</v>
      </c>
      <c r="E72" s="22"/>
      <c r="F72" s="22">
        <v>2117</v>
      </c>
      <c r="G72" s="19">
        <f t="shared" si="36"/>
        <v>500</v>
      </c>
      <c r="H72" s="19" t="s">
        <v>87</v>
      </c>
      <c r="I72" s="19" t="s">
        <v>323</v>
      </c>
      <c r="J72" s="13">
        <f t="shared" si="23"/>
        <v>2117</v>
      </c>
      <c r="K72" s="13">
        <f t="shared" si="24"/>
        <v>500</v>
      </c>
      <c r="L72" s="20"/>
      <c r="M72" s="16">
        <v>0.3</v>
      </c>
      <c r="N72" s="16">
        <v>0</v>
      </c>
      <c r="O72" s="16">
        <v>0.3</v>
      </c>
      <c r="P72" s="16">
        <v>0.3</v>
      </c>
      <c r="Q72" s="16">
        <f t="shared" si="26"/>
        <v>0.89999999999999991</v>
      </c>
      <c r="R72" s="20">
        <v>3.5</v>
      </c>
      <c r="S72" s="16">
        <f t="shared" si="27"/>
        <v>3.8500000000000005</v>
      </c>
      <c r="T72" s="20"/>
      <c r="U72" s="16">
        <f t="shared" si="28"/>
        <v>2.6</v>
      </c>
      <c r="V72" s="16">
        <f t="shared" si="29"/>
        <v>1.56</v>
      </c>
      <c r="W72" s="16">
        <f t="shared" si="30"/>
        <v>1.04</v>
      </c>
      <c r="Y72" s="21"/>
      <c r="Z72" s="22"/>
      <c r="AA72">
        <f t="shared" si="31"/>
        <v>0</v>
      </c>
      <c r="AB72">
        <v>5</v>
      </c>
      <c r="AC72" s="22"/>
      <c r="AD72">
        <f t="shared" si="32"/>
        <v>0</v>
      </c>
      <c r="AE72" s="22">
        <v>0.5</v>
      </c>
      <c r="AF72" s="22">
        <f t="shared" si="33"/>
        <v>0.55000000000000004</v>
      </c>
      <c r="AG72" s="22">
        <f t="shared" si="34"/>
        <v>0</v>
      </c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3"/>
    </row>
    <row r="73" spans="1:52" x14ac:dyDescent="0.3">
      <c r="A73" s="18" t="s">
        <v>3</v>
      </c>
      <c r="B73" s="13" t="s">
        <v>132</v>
      </c>
      <c r="C73" s="13">
        <v>6</v>
      </c>
      <c r="D73" s="13" t="str">
        <f t="shared" si="35"/>
        <v>Mantenimiento y Cuidado</v>
      </c>
      <c r="F73">
        <v>2061</v>
      </c>
      <c r="G73" s="13">
        <f t="shared" si="36"/>
        <v>500</v>
      </c>
      <c r="H73" s="13" t="s">
        <v>105</v>
      </c>
      <c r="I73" t="s">
        <v>227</v>
      </c>
      <c r="J73" s="13">
        <f t="shared" ref="J73:J104" si="37">F73</f>
        <v>2061</v>
      </c>
      <c r="K73" s="13">
        <f t="shared" si="24"/>
        <v>500</v>
      </c>
      <c r="L73" s="16">
        <v>3.2</v>
      </c>
      <c r="M73" s="16">
        <v>0.3</v>
      </c>
      <c r="N73" s="16">
        <v>0</v>
      </c>
      <c r="O73" s="16">
        <v>0.3</v>
      </c>
      <c r="P73" s="16">
        <v>0.3</v>
      </c>
      <c r="Q73" s="16">
        <f t="shared" si="26"/>
        <v>4.0999999999999996</v>
      </c>
      <c r="R73" s="16">
        <v>6.15</v>
      </c>
      <c r="S73" s="16">
        <f t="shared" si="27"/>
        <v>6.7650000000000006</v>
      </c>
      <c r="U73" s="16">
        <f t="shared" si="28"/>
        <v>2.0500000000000007</v>
      </c>
      <c r="V73" s="16">
        <f t="shared" si="29"/>
        <v>1.2300000000000004</v>
      </c>
      <c r="W73" s="16">
        <f t="shared" si="30"/>
        <v>0.82000000000000028</v>
      </c>
      <c r="Z73">
        <v>1</v>
      </c>
      <c r="AA73">
        <f t="shared" si="31"/>
        <v>8</v>
      </c>
      <c r="AB73">
        <v>5</v>
      </c>
      <c r="AC73">
        <v>24</v>
      </c>
      <c r="AD73">
        <f t="shared" si="32"/>
        <v>15</v>
      </c>
      <c r="AE73">
        <v>0.5</v>
      </c>
      <c r="AF73">
        <f t="shared" si="33"/>
        <v>0.55000000000000004</v>
      </c>
      <c r="AG73">
        <f t="shared" si="34"/>
        <v>13.200000000000001</v>
      </c>
    </row>
    <row r="74" spans="1:52" x14ac:dyDescent="0.3">
      <c r="A74" s="18" t="s">
        <v>3</v>
      </c>
      <c r="B74" s="13" t="s">
        <v>132</v>
      </c>
      <c r="C74" s="13">
        <v>6</v>
      </c>
      <c r="D74" s="13" t="str">
        <f t="shared" si="35"/>
        <v>Mantenimiento y Cuidado</v>
      </c>
      <c r="F74">
        <v>2070</v>
      </c>
      <c r="G74" s="13">
        <f t="shared" si="36"/>
        <v>400</v>
      </c>
      <c r="H74" s="13" t="s">
        <v>104</v>
      </c>
      <c r="I74" t="s">
        <v>228</v>
      </c>
      <c r="J74" s="13">
        <f t="shared" si="37"/>
        <v>2070</v>
      </c>
      <c r="K74" s="13">
        <f t="shared" si="24"/>
        <v>400</v>
      </c>
      <c r="L74" s="16">
        <v>3.45</v>
      </c>
      <c r="M74" s="16">
        <v>0.3</v>
      </c>
      <c r="N74" s="16">
        <v>0</v>
      </c>
      <c r="O74" s="16">
        <v>0.3</v>
      </c>
      <c r="P74" s="16">
        <v>0.3</v>
      </c>
      <c r="Q74" s="16">
        <f t="shared" si="26"/>
        <v>4.3499999999999996</v>
      </c>
      <c r="R74" s="16">
        <v>8.1</v>
      </c>
      <c r="S74" s="16">
        <f t="shared" si="27"/>
        <v>8.91</v>
      </c>
      <c r="U74" s="16">
        <f t="shared" si="28"/>
        <v>3.75</v>
      </c>
      <c r="V74" s="16">
        <f t="shared" si="29"/>
        <v>2.25</v>
      </c>
      <c r="W74" s="16">
        <f t="shared" si="30"/>
        <v>1.5</v>
      </c>
      <c r="Z74">
        <v>1</v>
      </c>
      <c r="AA74">
        <f t="shared" si="31"/>
        <v>8</v>
      </c>
      <c r="AB74">
        <v>5</v>
      </c>
      <c r="AC74">
        <v>24</v>
      </c>
      <c r="AD74">
        <f t="shared" si="32"/>
        <v>15</v>
      </c>
      <c r="AE74">
        <v>0.4</v>
      </c>
      <c r="AF74">
        <f t="shared" si="33"/>
        <v>0.44000000000000006</v>
      </c>
      <c r="AG74">
        <f t="shared" si="34"/>
        <v>10.560000000000002</v>
      </c>
    </row>
    <row r="75" spans="1:52" x14ac:dyDescent="0.3">
      <c r="A75" s="18" t="s">
        <v>3</v>
      </c>
      <c r="B75" s="13" t="s">
        <v>132</v>
      </c>
      <c r="C75" s="13">
        <v>6</v>
      </c>
      <c r="D75" s="13" t="str">
        <f t="shared" si="35"/>
        <v>Mantenimiento y Cuidado</v>
      </c>
      <c r="F75">
        <v>2071</v>
      </c>
      <c r="G75" s="13">
        <f t="shared" si="36"/>
        <v>400</v>
      </c>
      <c r="H75" s="13" t="s">
        <v>103</v>
      </c>
      <c r="I75" t="s">
        <v>229</v>
      </c>
      <c r="J75" s="13">
        <f t="shared" si="37"/>
        <v>2071</v>
      </c>
      <c r="K75" s="13">
        <f t="shared" ref="K75:K94" si="38">G75</f>
        <v>400</v>
      </c>
      <c r="L75" s="16">
        <v>3.2</v>
      </c>
      <c r="M75" s="16">
        <v>0.3</v>
      </c>
      <c r="N75" s="16">
        <v>0</v>
      </c>
      <c r="O75" s="16">
        <v>0.3</v>
      </c>
      <c r="P75" s="16">
        <v>0.3</v>
      </c>
      <c r="Q75" s="16">
        <f t="shared" si="26"/>
        <v>4.0999999999999996</v>
      </c>
      <c r="R75" s="16">
        <v>8.6</v>
      </c>
      <c r="S75" s="16">
        <f t="shared" si="27"/>
        <v>9.4600000000000009</v>
      </c>
      <c r="U75" s="16">
        <f t="shared" si="28"/>
        <v>4.5</v>
      </c>
      <c r="V75" s="16">
        <f t="shared" si="29"/>
        <v>2.6999999999999997</v>
      </c>
      <c r="W75" s="16">
        <f t="shared" si="30"/>
        <v>1.8</v>
      </c>
      <c r="Z75">
        <v>1</v>
      </c>
      <c r="AA75">
        <f t="shared" si="31"/>
        <v>8</v>
      </c>
      <c r="AB75">
        <v>5</v>
      </c>
      <c r="AC75">
        <v>24</v>
      </c>
      <c r="AD75">
        <f t="shared" si="32"/>
        <v>15</v>
      </c>
      <c r="AE75">
        <v>0.4</v>
      </c>
      <c r="AF75">
        <f t="shared" si="33"/>
        <v>0.44000000000000006</v>
      </c>
      <c r="AG75">
        <f t="shared" si="34"/>
        <v>10.560000000000002</v>
      </c>
    </row>
    <row r="76" spans="1:52" x14ac:dyDescent="0.3">
      <c r="A76" s="18" t="s">
        <v>3</v>
      </c>
      <c r="B76" s="13" t="s">
        <v>132</v>
      </c>
      <c r="C76" s="13">
        <v>6</v>
      </c>
      <c r="D76" s="13" t="str">
        <f t="shared" si="35"/>
        <v>Mantenimiento y Cuidado</v>
      </c>
      <c r="F76">
        <v>2075</v>
      </c>
      <c r="G76" s="13">
        <f t="shared" si="36"/>
        <v>400</v>
      </c>
      <c r="H76" s="13" t="s">
        <v>106</v>
      </c>
      <c r="I76" t="s">
        <v>230</v>
      </c>
      <c r="J76" s="13">
        <f t="shared" si="37"/>
        <v>2075</v>
      </c>
      <c r="K76" s="13">
        <f t="shared" si="38"/>
        <v>400</v>
      </c>
      <c r="L76" s="16">
        <v>3.1</v>
      </c>
      <c r="M76" s="16">
        <v>0.3</v>
      </c>
      <c r="N76" s="16">
        <v>0</v>
      </c>
      <c r="O76" s="16">
        <v>0.3</v>
      </c>
      <c r="P76" s="16">
        <v>0.3</v>
      </c>
      <c r="Q76" s="16">
        <f t="shared" si="26"/>
        <v>3.9999999999999996</v>
      </c>
      <c r="R76" s="16">
        <v>6.35</v>
      </c>
      <c r="S76" s="16">
        <f t="shared" si="27"/>
        <v>6.9850000000000003</v>
      </c>
      <c r="U76" s="16">
        <f t="shared" si="28"/>
        <v>2.35</v>
      </c>
      <c r="V76" s="16">
        <f t="shared" si="29"/>
        <v>1.41</v>
      </c>
      <c r="W76" s="16">
        <f t="shared" si="30"/>
        <v>0.94000000000000006</v>
      </c>
      <c r="Z76">
        <v>1</v>
      </c>
      <c r="AA76">
        <f t="shared" si="31"/>
        <v>8</v>
      </c>
      <c r="AB76">
        <v>5</v>
      </c>
      <c r="AC76">
        <v>24</v>
      </c>
      <c r="AD76">
        <f t="shared" si="32"/>
        <v>15</v>
      </c>
      <c r="AE76">
        <v>0.4</v>
      </c>
      <c r="AF76">
        <f t="shared" si="33"/>
        <v>0.44000000000000006</v>
      </c>
      <c r="AG76">
        <f t="shared" si="34"/>
        <v>10.560000000000002</v>
      </c>
    </row>
    <row r="77" spans="1:52" s="22" customFormat="1" x14ac:dyDescent="0.3">
      <c r="A77" s="18" t="s">
        <v>3</v>
      </c>
      <c r="B77" s="13" t="s">
        <v>132</v>
      </c>
      <c r="C77" s="13">
        <v>6</v>
      </c>
      <c r="D77" s="13" t="str">
        <f t="shared" si="35"/>
        <v>Mantenimiento y Cuidado</v>
      </c>
      <c r="E77"/>
      <c r="F77">
        <v>2076</v>
      </c>
      <c r="G77" s="13">
        <f t="shared" si="36"/>
        <v>400</v>
      </c>
      <c r="H77" s="13" t="s">
        <v>107</v>
      </c>
      <c r="I77" t="s">
        <v>231</v>
      </c>
      <c r="J77" s="13">
        <f t="shared" si="37"/>
        <v>2076</v>
      </c>
      <c r="K77" s="13">
        <f t="shared" si="38"/>
        <v>400</v>
      </c>
      <c r="L77" s="16">
        <v>3.2</v>
      </c>
      <c r="M77" s="16">
        <v>0.3</v>
      </c>
      <c r="N77" s="16">
        <v>0</v>
      </c>
      <c r="O77" s="16">
        <v>0.3</v>
      </c>
      <c r="P77" s="16">
        <v>0.3</v>
      </c>
      <c r="Q77" s="16">
        <f t="shared" si="26"/>
        <v>4.0999999999999996</v>
      </c>
      <c r="R77" s="16">
        <v>8.5500000000000007</v>
      </c>
      <c r="S77" s="16">
        <f t="shared" si="27"/>
        <v>9.4050000000000011</v>
      </c>
      <c r="T77" s="16"/>
      <c r="U77" s="16">
        <f t="shared" si="28"/>
        <v>4.4500000000000011</v>
      </c>
      <c r="V77" s="16">
        <f t="shared" si="29"/>
        <v>2.6700000000000004</v>
      </c>
      <c r="W77" s="16">
        <f t="shared" si="30"/>
        <v>1.7800000000000005</v>
      </c>
      <c r="X77" s="16"/>
      <c r="Y77" s="17"/>
      <c r="Z77">
        <v>1</v>
      </c>
      <c r="AA77">
        <f t="shared" si="31"/>
        <v>8</v>
      </c>
      <c r="AB77">
        <v>5</v>
      </c>
      <c r="AC77">
        <v>24</v>
      </c>
      <c r="AD77">
        <f t="shared" si="32"/>
        <v>15</v>
      </c>
      <c r="AE77">
        <v>0.4</v>
      </c>
      <c r="AF77">
        <f t="shared" si="33"/>
        <v>0.44000000000000006</v>
      </c>
      <c r="AG77">
        <f t="shared" si="34"/>
        <v>10.560000000000002</v>
      </c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 s="12"/>
    </row>
    <row r="78" spans="1:52" x14ac:dyDescent="0.3">
      <c r="A78" s="18" t="s">
        <v>3</v>
      </c>
      <c r="B78" s="13" t="s">
        <v>132</v>
      </c>
      <c r="C78" s="13">
        <v>6</v>
      </c>
      <c r="D78" s="13" t="str">
        <f t="shared" si="35"/>
        <v>Mantenimiento y Cuidado</v>
      </c>
      <c r="F78">
        <v>2094</v>
      </c>
      <c r="G78" s="13">
        <f t="shared" si="36"/>
        <v>400</v>
      </c>
      <c r="H78" s="13" t="s">
        <v>108</v>
      </c>
      <c r="I78" t="s">
        <v>232</v>
      </c>
      <c r="J78" s="13">
        <f t="shared" si="37"/>
        <v>2094</v>
      </c>
      <c r="K78" s="13">
        <f t="shared" si="38"/>
        <v>400</v>
      </c>
      <c r="L78" s="16">
        <v>3.5</v>
      </c>
      <c r="M78" s="16">
        <v>0.3</v>
      </c>
      <c r="N78" s="16">
        <v>0</v>
      </c>
      <c r="O78" s="16">
        <v>0.3</v>
      </c>
      <c r="P78" s="16">
        <v>0.3</v>
      </c>
      <c r="Q78" s="16">
        <f t="shared" si="26"/>
        <v>4.3999999999999995</v>
      </c>
      <c r="R78" s="16">
        <v>6.6</v>
      </c>
      <c r="S78" s="16">
        <f t="shared" si="27"/>
        <v>7.26</v>
      </c>
      <c r="U78" s="16">
        <f t="shared" si="28"/>
        <v>2.2000000000000002</v>
      </c>
      <c r="V78" s="16">
        <f t="shared" si="29"/>
        <v>1.32</v>
      </c>
      <c r="W78" s="16">
        <f t="shared" si="30"/>
        <v>0.88000000000000012</v>
      </c>
      <c r="Z78">
        <v>1</v>
      </c>
      <c r="AA78">
        <f t="shared" si="31"/>
        <v>8</v>
      </c>
      <c r="AB78">
        <v>5</v>
      </c>
      <c r="AC78">
        <v>24</v>
      </c>
      <c r="AD78">
        <f t="shared" si="32"/>
        <v>15</v>
      </c>
      <c r="AE78">
        <v>0.4</v>
      </c>
      <c r="AF78">
        <f t="shared" si="33"/>
        <v>0.44000000000000006</v>
      </c>
      <c r="AG78">
        <f t="shared" si="34"/>
        <v>10.560000000000002</v>
      </c>
    </row>
    <row r="79" spans="1:52" x14ac:dyDescent="0.3">
      <c r="A79" s="19" t="s">
        <v>3</v>
      </c>
      <c r="B79" s="19" t="s">
        <v>132</v>
      </c>
      <c r="C79" s="19">
        <v>6</v>
      </c>
      <c r="D79" s="13" t="str">
        <f t="shared" si="35"/>
        <v>Mantenimiento y Cuidado</v>
      </c>
      <c r="E79" s="22"/>
      <c r="F79" s="22">
        <v>2194</v>
      </c>
      <c r="G79" s="19">
        <f t="shared" si="36"/>
        <v>500</v>
      </c>
      <c r="H79" s="19" t="s">
        <v>126</v>
      </c>
      <c r="I79" s="19" t="s">
        <v>233</v>
      </c>
      <c r="J79" s="13">
        <f t="shared" si="37"/>
        <v>2194</v>
      </c>
      <c r="K79" s="13">
        <f t="shared" si="38"/>
        <v>500</v>
      </c>
      <c r="L79" s="20"/>
      <c r="M79" s="16">
        <v>0.3</v>
      </c>
      <c r="N79" s="16">
        <v>0</v>
      </c>
      <c r="O79" s="16">
        <v>0.3</v>
      </c>
      <c r="P79" s="16">
        <v>0.3</v>
      </c>
      <c r="Q79" s="16">
        <f t="shared" si="26"/>
        <v>0.89999999999999991</v>
      </c>
      <c r="R79" s="20">
        <v>9.65</v>
      </c>
      <c r="S79" s="16">
        <f t="shared" si="27"/>
        <v>10.615000000000002</v>
      </c>
      <c r="T79" s="20"/>
      <c r="U79" s="16">
        <f t="shared" si="28"/>
        <v>8.75</v>
      </c>
      <c r="V79" s="16">
        <f t="shared" si="29"/>
        <v>5.25</v>
      </c>
      <c r="W79" s="16">
        <f t="shared" si="30"/>
        <v>3.5</v>
      </c>
      <c r="Y79" s="21"/>
      <c r="Z79" s="22"/>
      <c r="AA79">
        <f t="shared" si="31"/>
        <v>0</v>
      </c>
      <c r="AB79">
        <v>5</v>
      </c>
      <c r="AC79" s="22"/>
      <c r="AD79">
        <f t="shared" si="32"/>
        <v>0</v>
      </c>
      <c r="AE79" s="22">
        <v>0.5</v>
      </c>
      <c r="AF79" s="22">
        <f t="shared" si="33"/>
        <v>0.55000000000000004</v>
      </c>
      <c r="AG79" s="22">
        <f t="shared" si="34"/>
        <v>0</v>
      </c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3"/>
    </row>
    <row r="80" spans="1:52" x14ac:dyDescent="0.3">
      <c r="A80" s="18" t="s">
        <v>3</v>
      </c>
      <c r="B80" s="13" t="s">
        <v>132</v>
      </c>
      <c r="C80" s="13">
        <v>6</v>
      </c>
      <c r="D80" s="13" t="str">
        <f t="shared" si="35"/>
        <v>Mantenimiento y Cuidado</v>
      </c>
      <c r="F80">
        <v>2095</v>
      </c>
      <c r="G80" s="13">
        <f t="shared" si="36"/>
        <v>200</v>
      </c>
      <c r="H80" s="13" t="s">
        <v>127</v>
      </c>
      <c r="I80" t="s">
        <v>234</v>
      </c>
      <c r="J80" s="13">
        <f t="shared" si="37"/>
        <v>2095</v>
      </c>
      <c r="K80" s="13">
        <f t="shared" si="38"/>
        <v>200</v>
      </c>
      <c r="L80" s="16">
        <v>7.5</v>
      </c>
      <c r="M80" s="16">
        <v>0.3</v>
      </c>
      <c r="N80" s="16">
        <v>0</v>
      </c>
      <c r="O80" s="16">
        <v>0.3</v>
      </c>
      <c r="P80" s="16">
        <v>0.3</v>
      </c>
      <c r="Q80" s="16">
        <f t="shared" si="26"/>
        <v>8.4</v>
      </c>
      <c r="R80" s="16">
        <v>15.7</v>
      </c>
      <c r="S80" s="16">
        <f t="shared" si="27"/>
        <v>17.27</v>
      </c>
      <c r="U80" s="16">
        <f t="shared" si="28"/>
        <v>7.2999999999999989</v>
      </c>
      <c r="V80" s="16">
        <f t="shared" si="29"/>
        <v>4.379999999999999</v>
      </c>
      <c r="W80" s="16">
        <f t="shared" si="30"/>
        <v>2.92</v>
      </c>
      <c r="Z80">
        <v>1</v>
      </c>
      <c r="AA80">
        <f t="shared" si="31"/>
        <v>8</v>
      </c>
      <c r="AB80">
        <v>5</v>
      </c>
      <c r="AC80">
        <v>24</v>
      </c>
      <c r="AD80">
        <f t="shared" si="32"/>
        <v>15</v>
      </c>
      <c r="AE80">
        <v>0.2</v>
      </c>
      <c r="AF80">
        <f t="shared" si="33"/>
        <v>0.22000000000000003</v>
      </c>
      <c r="AG80">
        <f t="shared" si="34"/>
        <v>5.2800000000000011</v>
      </c>
    </row>
    <row r="81" spans="1:52" x14ac:dyDescent="0.3">
      <c r="A81" s="19" t="s">
        <v>3</v>
      </c>
      <c r="B81" s="19" t="s">
        <v>132</v>
      </c>
      <c r="C81" s="19">
        <v>6</v>
      </c>
      <c r="D81" s="13" t="str">
        <f t="shared" si="35"/>
        <v>Mantenimiento y Cuidado</v>
      </c>
      <c r="E81" s="22"/>
      <c r="F81" s="22">
        <v>2195</v>
      </c>
      <c r="G81" s="19">
        <f t="shared" si="36"/>
        <v>200</v>
      </c>
      <c r="H81" s="19" t="s">
        <v>128</v>
      </c>
      <c r="I81" s="19" t="s">
        <v>235</v>
      </c>
      <c r="J81" s="13">
        <f t="shared" si="37"/>
        <v>2195</v>
      </c>
      <c r="K81" s="13">
        <f t="shared" si="38"/>
        <v>200</v>
      </c>
      <c r="L81" s="20"/>
      <c r="M81" s="16">
        <v>0.3</v>
      </c>
      <c r="N81" s="16">
        <v>0</v>
      </c>
      <c r="O81" s="16">
        <v>0.3</v>
      </c>
      <c r="P81" s="16">
        <v>0.3</v>
      </c>
      <c r="Q81" s="16">
        <f t="shared" si="26"/>
        <v>0.89999999999999991</v>
      </c>
      <c r="R81" s="20"/>
      <c r="S81" s="16">
        <f t="shared" si="27"/>
        <v>0</v>
      </c>
      <c r="T81" s="20"/>
      <c r="U81" s="16">
        <f t="shared" si="28"/>
        <v>-0.89999999999999991</v>
      </c>
      <c r="V81" s="16">
        <f t="shared" si="29"/>
        <v>-0.53999999999999992</v>
      </c>
      <c r="W81" s="16">
        <f t="shared" si="30"/>
        <v>-0.36</v>
      </c>
      <c r="Y81" s="21"/>
      <c r="Z81" s="22"/>
      <c r="AA81">
        <f t="shared" si="31"/>
        <v>0</v>
      </c>
      <c r="AB81">
        <v>5</v>
      </c>
      <c r="AC81" s="22"/>
      <c r="AD81">
        <f t="shared" si="32"/>
        <v>0</v>
      </c>
      <c r="AE81" s="22">
        <v>0.2</v>
      </c>
      <c r="AF81" s="22">
        <f t="shared" si="33"/>
        <v>0.22000000000000003</v>
      </c>
      <c r="AG81" s="22">
        <f t="shared" si="34"/>
        <v>0</v>
      </c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3"/>
    </row>
    <row r="82" spans="1:52" x14ac:dyDescent="0.3">
      <c r="A82" s="18" t="s">
        <v>3</v>
      </c>
      <c r="B82" s="13" t="s">
        <v>132</v>
      </c>
      <c r="C82" s="13">
        <v>6</v>
      </c>
      <c r="D82" s="13" t="str">
        <f t="shared" si="35"/>
        <v>Mantenimiento y Cuidado</v>
      </c>
      <c r="F82">
        <v>2096</v>
      </c>
      <c r="G82" s="13">
        <f t="shared" si="36"/>
        <v>400</v>
      </c>
      <c r="H82" s="13" t="s">
        <v>109</v>
      </c>
      <c r="I82" t="s">
        <v>236</v>
      </c>
      <c r="J82" s="13">
        <f t="shared" si="37"/>
        <v>2096</v>
      </c>
      <c r="K82" s="13">
        <f t="shared" si="38"/>
        <v>400</v>
      </c>
      <c r="L82" s="16">
        <v>3.5</v>
      </c>
      <c r="M82" s="16">
        <v>0.3</v>
      </c>
      <c r="N82" s="16">
        <v>0</v>
      </c>
      <c r="O82" s="16">
        <v>0.3</v>
      </c>
      <c r="P82" s="16">
        <v>0.3</v>
      </c>
      <c r="Q82" s="16">
        <f t="shared" si="26"/>
        <v>4.3999999999999995</v>
      </c>
      <c r="R82" s="16">
        <v>4.8</v>
      </c>
      <c r="S82" s="16">
        <f t="shared" si="27"/>
        <v>5.28</v>
      </c>
      <c r="U82" s="16">
        <f t="shared" si="28"/>
        <v>0.40000000000000036</v>
      </c>
      <c r="V82" s="16">
        <f t="shared" si="29"/>
        <v>0.24000000000000021</v>
      </c>
      <c r="W82" s="16">
        <f t="shared" si="30"/>
        <v>0.16000000000000014</v>
      </c>
      <c r="Z82">
        <v>1</v>
      </c>
      <c r="AA82">
        <f t="shared" si="31"/>
        <v>8</v>
      </c>
      <c r="AB82">
        <v>5</v>
      </c>
      <c r="AC82">
        <v>24</v>
      </c>
      <c r="AD82">
        <f t="shared" si="32"/>
        <v>15</v>
      </c>
      <c r="AE82">
        <v>0.4</v>
      </c>
      <c r="AF82">
        <f t="shared" si="33"/>
        <v>0.44000000000000006</v>
      </c>
      <c r="AG82">
        <f t="shared" si="34"/>
        <v>10.560000000000002</v>
      </c>
    </row>
    <row r="83" spans="1:52" x14ac:dyDescent="0.3">
      <c r="A83" s="18" t="s">
        <v>3</v>
      </c>
      <c r="B83" s="13" t="s">
        <v>132</v>
      </c>
      <c r="C83" s="13">
        <v>7</v>
      </c>
      <c r="D83" s="13" t="str">
        <f t="shared" si="35"/>
        <v>Carrocería</v>
      </c>
      <c r="F83">
        <v>2083</v>
      </c>
      <c r="G83" s="13">
        <f t="shared" si="36"/>
        <v>1000</v>
      </c>
      <c r="H83" s="13" t="s">
        <v>112</v>
      </c>
      <c r="I83" s="13" t="s">
        <v>238</v>
      </c>
      <c r="J83" s="13">
        <f t="shared" si="37"/>
        <v>2083</v>
      </c>
      <c r="K83" s="13">
        <f t="shared" si="38"/>
        <v>1000</v>
      </c>
      <c r="L83" s="16">
        <v>5.4</v>
      </c>
      <c r="M83" s="16">
        <v>0.3</v>
      </c>
      <c r="N83" s="16">
        <v>0</v>
      </c>
      <c r="O83" s="16">
        <v>0.3</v>
      </c>
      <c r="P83" s="16">
        <v>0.3</v>
      </c>
      <c r="Q83" s="16">
        <f t="shared" si="26"/>
        <v>6.3</v>
      </c>
      <c r="R83" s="16">
        <v>7.85</v>
      </c>
      <c r="S83" s="16">
        <f t="shared" si="27"/>
        <v>8.6349999999999998</v>
      </c>
      <c r="T83" s="16">
        <v>12.7</v>
      </c>
      <c r="U83" s="16">
        <f t="shared" si="28"/>
        <v>1.5499999999999998</v>
      </c>
      <c r="V83" s="16">
        <f t="shared" si="29"/>
        <v>0.92999999999999983</v>
      </c>
      <c r="W83" s="16">
        <f t="shared" si="30"/>
        <v>0.62</v>
      </c>
      <c r="Z83">
        <v>1</v>
      </c>
      <c r="AA83">
        <f t="shared" si="31"/>
        <v>4</v>
      </c>
      <c r="AB83">
        <v>5</v>
      </c>
      <c r="AC83">
        <v>12</v>
      </c>
      <c r="AD83">
        <f t="shared" si="32"/>
        <v>10</v>
      </c>
      <c r="AE83">
        <v>1</v>
      </c>
      <c r="AF83">
        <f t="shared" si="33"/>
        <v>1.1000000000000001</v>
      </c>
      <c r="AG83">
        <f t="shared" si="34"/>
        <v>13.200000000000001</v>
      </c>
    </row>
    <row r="84" spans="1:52" x14ac:dyDescent="0.3">
      <c r="A84" s="18" t="s">
        <v>3</v>
      </c>
      <c r="B84" s="13" t="s">
        <v>132</v>
      </c>
      <c r="C84" s="13">
        <v>7</v>
      </c>
      <c r="D84" s="13" t="str">
        <f t="shared" si="35"/>
        <v>Carrocería</v>
      </c>
      <c r="F84">
        <v>2090</v>
      </c>
      <c r="G84" s="13">
        <f t="shared" si="36"/>
        <v>400</v>
      </c>
      <c r="H84" s="13" t="s">
        <v>114</v>
      </c>
      <c r="I84" s="13" t="s">
        <v>239</v>
      </c>
      <c r="J84" s="13">
        <f t="shared" si="37"/>
        <v>2090</v>
      </c>
      <c r="K84" s="13">
        <f t="shared" si="38"/>
        <v>400</v>
      </c>
      <c r="L84" s="16">
        <v>3.5</v>
      </c>
      <c r="M84" s="16">
        <v>0.3</v>
      </c>
      <c r="N84" s="16">
        <v>0</v>
      </c>
      <c r="O84" s="16">
        <v>0.3</v>
      </c>
      <c r="P84" s="16">
        <v>0.3</v>
      </c>
      <c r="Q84" s="16">
        <f t="shared" si="26"/>
        <v>4.3999999999999995</v>
      </c>
      <c r="R84" s="16">
        <v>7.8</v>
      </c>
      <c r="S84" s="16">
        <f t="shared" si="27"/>
        <v>8.58</v>
      </c>
      <c r="U84" s="16">
        <f t="shared" si="28"/>
        <v>3.4000000000000004</v>
      </c>
      <c r="V84" s="16">
        <f t="shared" si="29"/>
        <v>2.04</v>
      </c>
      <c r="W84" s="16">
        <f t="shared" si="30"/>
        <v>1.3600000000000003</v>
      </c>
      <c r="Z84">
        <v>1</v>
      </c>
      <c r="AA84">
        <f t="shared" si="31"/>
        <v>8</v>
      </c>
      <c r="AB84">
        <v>5</v>
      </c>
      <c r="AC84">
        <v>24</v>
      </c>
      <c r="AD84">
        <f t="shared" si="32"/>
        <v>15</v>
      </c>
      <c r="AE84">
        <v>0.4</v>
      </c>
      <c r="AF84">
        <f t="shared" si="33"/>
        <v>0.44000000000000006</v>
      </c>
      <c r="AG84">
        <f t="shared" si="34"/>
        <v>10.560000000000002</v>
      </c>
    </row>
    <row r="85" spans="1:52" x14ac:dyDescent="0.3">
      <c r="A85" s="18" t="s">
        <v>3</v>
      </c>
      <c r="B85" s="13" t="s">
        <v>132</v>
      </c>
      <c r="C85" s="13">
        <v>7</v>
      </c>
      <c r="D85" s="13" t="str">
        <f t="shared" si="35"/>
        <v>Carrocería</v>
      </c>
      <c r="F85">
        <v>2091</v>
      </c>
      <c r="G85" s="13">
        <f t="shared" si="36"/>
        <v>500</v>
      </c>
      <c r="H85" s="13" t="s">
        <v>115</v>
      </c>
      <c r="I85" s="13" t="s">
        <v>240</v>
      </c>
      <c r="J85" s="13">
        <f t="shared" si="37"/>
        <v>2091</v>
      </c>
      <c r="K85" s="13">
        <f t="shared" si="38"/>
        <v>500</v>
      </c>
      <c r="L85" s="16">
        <v>3.9</v>
      </c>
      <c r="M85" s="16">
        <v>0.3</v>
      </c>
      <c r="N85" s="16">
        <v>0</v>
      </c>
      <c r="O85" s="16">
        <v>0.3</v>
      </c>
      <c r="P85" s="16">
        <v>0.3</v>
      </c>
      <c r="Q85" s="16">
        <f t="shared" si="26"/>
        <v>4.8</v>
      </c>
      <c r="R85" s="16">
        <v>5.9</v>
      </c>
      <c r="S85" s="16">
        <f t="shared" si="27"/>
        <v>6.4900000000000011</v>
      </c>
      <c r="U85" s="16">
        <f t="shared" si="28"/>
        <v>1.1000000000000005</v>
      </c>
      <c r="V85" s="16">
        <f t="shared" si="29"/>
        <v>0.66000000000000025</v>
      </c>
      <c r="W85" s="16">
        <f t="shared" si="30"/>
        <v>0.44000000000000022</v>
      </c>
      <c r="Z85">
        <v>1</v>
      </c>
      <c r="AA85">
        <f t="shared" si="31"/>
        <v>4</v>
      </c>
      <c r="AB85">
        <v>5</v>
      </c>
      <c r="AC85">
        <v>12</v>
      </c>
      <c r="AD85">
        <f t="shared" si="32"/>
        <v>10</v>
      </c>
      <c r="AE85">
        <v>0.5</v>
      </c>
      <c r="AF85">
        <f t="shared" si="33"/>
        <v>0.55000000000000004</v>
      </c>
      <c r="AG85">
        <f t="shared" si="34"/>
        <v>6.6000000000000005</v>
      </c>
    </row>
    <row r="86" spans="1:52" s="22" customFormat="1" x14ac:dyDescent="0.3">
      <c r="A86" s="19" t="s">
        <v>3</v>
      </c>
      <c r="B86" s="19" t="s">
        <v>132</v>
      </c>
      <c r="C86" s="19">
        <v>7</v>
      </c>
      <c r="D86" s="13" t="str">
        <f t="shared" si="35"/>
        <v>Carrocería</v>
      </c>
      <c r="F86" s="22">
        <v>2092</v>
      </c>
      <c r="G86" s="19">
        <f t="shared" si="36"/>
        <v>500</v>
      </c>
      <c r="H86" s="19" t="s">
        <v>116</v>
      </c>
      <c r="I86" s="19" t="s">
        <v>241</v>
      </c>
      <c r="J86" s="13">
        <f t="shared" si="37"/>
        <v>2092</v>
      </c>
      <c r="K86" s="13">
        <f t="shared" si="38"/>
        <v>500</v>
      </c>
      <c r="L86" s="20"/>
      <c r="M86" s="16">
        <v>0.3</v>
      </c>
      <c r="N86" s="16">
        <v>0</v>
      </c>
      <c r="O86" s="16">
        <v>0.3</v>
      </c>
      <c r="P86" s="16">
        <v>0.3</v>
      </c>
      <c r="Q86" s="16">
        <f t="shared" si="26"/>
        <v>0.89999999999999991</v>
      </c>
      <c r="R86" s="20">
        <v>6.2</v>
      </c>
      <c r="S86" s="16">
        <f t="shared" si="27"/>
        <v>6.8200000000000012</v>
      </c>
      <c r="T86" s="20"/>
      <c r="U86" s="16">
        <f t="shared" si="28"/>
        <v>5.3000000000000007</v>
      </c>
      <c r="V86" s="16">
        <f t="shared" si="29"/>
        <v>3.18</v>
      </c>
      <c r="W86" s="16">
        <f t="shared" si="30"/>
        <v>2.1200000000000006</v>
      </c>
      <c r="X86" s="16"/>
      <c r="Y86" s="21"/>
      <c r="AA86">
        <f t="shared" si="31"/>
        <v>0</v>
      </c>
      <c r="AB86">
        <v>5</v>
      </c>
      <c r="AD86">
        <f t="shared" si="32"/>
        <v>0</v>
      </c>
      <c r="AE86" s="22">
        <v>0.5</v>
      </c>
      <c r="AF86" s="22">
        <f t="shared" si="33"/>
        <v>0.55000000000000004</v>
      </c>
      <c r="AG86" s="22">
        <f t="shared" si="34"/>
        <v>0</v>
      </c>
      <c r="AZ86" s="23"/>
    </row>
    <row r="87" spans="1:52" x14ac:dyDescent="0.3">
      <c r="A87" s="18" t="s">
        <v>3</v>
      </c>
      <c r="B87" s="13" t="s">
        <v>132</v>
      </c>
      <c r="C87" s="13">
        <v>7</v>
      </c>
      <c r="D87" s="13" t="str">
        <f t="shared" si="35"/>
        <v>Carrocería</v>
      </c>
      <c r="F87">
        <v>2199</v>
      </c>
      <c r="G87" s="13">
        <f t="shared" si="36"/>
        <v>50</v>
      </c>
      <c r="H87" s="13" t="s">
        <v>117</v>
      </c>
      <c r="I87" s="13" t="s">
        <v>332</v>
      </c>
      <c r="J87" s="13">
        <f t="shared" si="37"/>
        <v>2199</v>
      </c>
      <c r="K87" s="13">
        <f t="shared" si="38"/>
        <v>50</v>
      </c>
      <c r="L87" s="16">
        <v>7.75</v>
      </c>
      <c r="M87" s="16">
        <v>0.3</v>
      </c>
      <c r="N87" s="16">
        <v>0</v>
      </c>
      <c r="O87" s="16">
        <v>0.3</v>
      </c>
      <c r="P87" s="16">
        <v>0.3</v>
      </c>
      <c r="Q87" s="16">
        <f t="shared" si="26"/>
        <v>8.6500000000000021</v>
      </c>
      <c r="R87" s="16">
        <v>15.6</v>
      </c>
      <c r="S87" s="16">
        <f t="shared" si="27"/>
        <v>17.16</v>
      </c>
      <c r="U87" s="16">
        <f t="shared" si="28"/>
        <v>6.9499999999999975</v>
      </c>
      <c r="V87" s="16">
        <f t="shared" si="29"/>
        <v>4.1699999999999982</v>
      </c>
      <c r="W87" s="16">
        <f t="shared" si="30"/>
        <v>2.7799999999999994</v>
      </c>
      <c r="Z87">
        <v>1</v>
      </c>
      <c r="AA87">
        <f t="shared" si="31"/>
        <v>4</v>
      </c>
      <c r="AB87">
        <v>5</v>
      </c>
      <c r="AC87">
        <v>12</v>
      </c>
      <c r="AD87">
        <f t="shared" si="32"/>
        <v>10</v>
      </c>
      <c r="AE87">
        <v>0.05</v>
      </c>
      <c r="AF87">
        <f t="shared" si="33"/>
        <v>5.5000000000000007E-2</v>
      </c>
      <c r="AG87">
        <f t="shared" si="34"/>
        <v>0.66000000000000014</v>
      </c>
    </row>
    <row r="88" spans="1:52" x14ac:dyDescent="0.3">
      <c r="A88" s="18" t="s">
        <v>3</v>
      </c>
      <c r="B88" s="13" t="s">
        <v>132</v>
      </c>
      <c r="C88" s="13">
        <v>7</v>
      </c>
      <c r="D88" s="13" t="str">
        <f t="shared" si="35"/>
        <v>Carrocería</v>
      </c>
      <c r="F88">
        <v>2399</v>
      </c>
      <c r="G88" s="13">
        <f t="shared" si="36"/>
        <v>50</v>
      </c>
      <c r="H88" s="13" t="s">
        <v>117</v>
      </c>
      <c r="I88" s="13" t="s">
        <v>333</v>
      </c>
      <c r="J88" s="13">
        <f t="shared" si="37"/>
        <v>2399</v>
      </c>
      <c r="K88" s="13">
        <f t="shared" si="38"/>
        <v>50</v>
      </c>
      <c r="L88" s="16">
        <v>7.75</v>
      </c>
      <c r="M88" s="16">
        <v>0.3</v>
      </c>
      <c r="N88" s="16">
        <v>0</v>
      </c>
      <c r="O88" s="16">
        <v>0.3</v>
      </c>
      <c r="P88" s="16">
        <v>0.3</v>
      </c>
      <c r="Q88" s="16">
        <f t="shared" si="26"/>
        <v>8.6500000000000021</v>
      </c>
      <c r="R88" s="16">
        <v>15.6</v>
      </c>
      <c r="S88" s="16">
        <f t="shared" si="27"/>
        <v>17.16</v>
      </c>
      <c r="U88" s="16">
        <f t="shared" si="28"/>
        <v>6.9499999999999975</v>
      </c>
      <c r="V88" s="16">
        <f t="shared" si="29"/>
        <v>4.1699999999999982</v>
      </c>
      <c r="W88" s="16">
        <f t="shared" si="30"/>
        <v>2.7799999999999994</v>
      </c>
      <c r="Z88">
        <v>1</v>
      </c>
      <c r="AA88">
        <f t="shared" si="31"/>
        <v>4</v>
      </c>
      <c r="AB88">
        <v>5</v>
      </c>
      <c r="AC88">
        <v>12</v>
      </c>
      <c r="AD88">
        <f t="shared" si="32"/>
        <v>10</v>
      </c>
      <c r="AE88">
        <v>0.05</v>
      </c>
      <c r="AF88">
        <f t="shared" si="33"/>
        <v>5.5000000000000007E-2</v>
      </c>
      <c r="AG88">
        <f t="shared" si="34"/>
        <v>0.66000000000000014</v>
      </c>
    </row>
    <row r="89" spans="1:52" x14ac:dyDescent="0.3">
      <c r="A89" s="18" t="s">
        <v>3</v>
      </c>
      <c r="B89" s="13" t="s">
        <v>131</v>
      </c>
      <c r="C89" s="13"/>
      <c r="D89" s="13" t="str">
        <f t="shared" si="35"/>
        <v/>
      </c>
      <c r="E89" s="13">
        <v>1</v>
      </c>
      <c r="F89" s="13">
        <v>2010</v>
      </c>
      <c r="G89" s="13">
        <f t="shared" si="36"/>
        <v>400</v>
      </c>
      <c r="H89" s="13" t="s">
        <v>21</v>
      </c>
      <c r="I89" s="13" t="s">
        <v>285</v>
      </c>
      <c r="J89" s="13">
        <f t="shared" si="37"/>
        <v>2010</v>
      </c>
      <c r="K89" s="13">
        <f t="shared" si="38"/>
        <v>400</v>
      </c>
      <c r="L89" s="16">
        <v>2.95</v>
      </c>
      <c r="M89" s="16">
        <v>0.3</v>
      </c>
      <c r="N89" s="16">
        <v>0</v>
      </c>
      <c r="O89" s="16">
        <v>0.3</v>
      </c>
      <c r="P89" s="16">
        <v>0.3</v>
      </c>
      <c r="Q89" s="16">
        <f t="shared" si="26"/>
        <v>3.8499999999999996</v>
      </c>
      <c r="R89" s="16">
        <v>9.35</v>
      </c>
      <c r="S89" s="16">
        <f t="shared" si="27"/>
        <v>10.285</v>
      </c>
      <c r="T89" s="16">
        <v>16.850000000000001</v>
      </c>
      <c r="U89" s="16">
        <f t="shared" si="28"/>
        <v>5.5</v>
      </c>
      <c r="V89" s="16">
        <f t="shared" si="29"/>
        <v>3.3</v>
      </c>
      <c r="W89" s="16">
        <f t="shared" si="30"/>
        <v>2.2000000000000002</v>
      </c>
      <c r="Z89">
        <v>1</v>
      </c>
      <c r="AA89">
        <f t="shared" si="31"/>
        <v>8</v>
      </c>
      <c r="AB89">
        <v>5</v>
      </c>
      <c r="AC89">
        <v>24</v>
      </c>
      <c r="AD89">
        <f t="shared" si="32"/>
        <v>15</v>
      </c>
      <c r="AE89">
        <v>0.4</v>
      </c>
      <c r="AF89">
        <f t="shared" si="33"/>
        <v>0.44000000000000006</v>
      </c>
      <c r="AG89">
        <f t="shared" si="34"/>
        <v>10.560000000000002</v>
      </c>
      <c r="AI89">
        <v>1</v>
      </c>
      <c r="AK89">
        <v>2</v>
      </c>
    </row>
    <row r="90" spans="1:52" x14ac:dyDescent="0.3">
      <c r="A90" s="18" t="s">
        <v>3</v>
      </c>
      <c r="B90" s="13" t="s">
        <v>131</v>
      </c>
      <c r="C90" s="13"/>
      <c r="D90" s="13" t="str">
        <f t="shared" si="35"/>
        <v/>
      </c>
      <c r="E90" s="13">
        <v>1</v>
      </c>
      <c r="F90" s="13" t="s">
        <v>19</v>
      </c>
      <c r="G90" s="13">
        <f t="shared" si="36"/>
        <v>300</v>
      </c>
      <c r="H90" s="13" t="s">
        <v>21</v>
      </c>
      <c r="I90" s="13" t="s">
        <v>286</v>
      </c>
      <c r="J90" s="13" t="str">
        <f t="shared" si="37"/>
        <v>2010-300</v>
      </c>
      <c r="K90" s="13">
        <f t="shared" si="38"/>
        <v>300</v>
      </c>
      <c r="L90" s="16">
        <v>2.4500000000000002</v>
      </c>
      <c r="M90" s="16">
        <v>0.3</v>
      </c>
      <c r="N90" s="16">
        <v>0</v>
      </c>
      <c r="O90" s="16">
        <v>0.3</v>
      </c>
      <c r="P90" s="16">
        <v>0.3</v>
      </c>
      <c r="Q90" s="16">
        <f t="shared" si="26"/>
        <v>3.3499999999999996</v>
      </c>
      <c r="R90" s="16">
        <v>7.4</v>
      </c>
      <c r="S90" s="16">
        <f t="shared" si="27"/>
        <v>8.14</v>
      </c>
      <c r="T90" s="16">
        <v>12.65</v>
      </c>
      <c r="U90" s="16">
        <f t="shared" si="28"/>
        <v>4.0500000000000007</v>
      </c>
      <c r="V90" s="16">
        <f t="shared" si="29"/>
        <v>2.4300000000000002</v>
      </c>
      <c r="W90" s="16">
        <f t="shared" si="30"/>
        <v>1.6200000000000003</v>
      </c>
      <c r="Z90">
        <v>1</v>
      </c>
      <c r="AA90">
        <f t="shared" si="31"/>
        <v>8</v>
      </c>
      <c r="AB90">
        <v>5</v>
      </c>
      <c r="AC90">
        <v>24</v>
      </c>
      <c r="AD90">
        <f t="shared" si="32"/>
        <v>15</v>
      </c>
      <c r="AE90">
        <v>0.3</v>
      </c>
      <c r="AF90">
        <f t="shared" si="33"/>
        <v>0.33</v>
      </c>
      <c r="AG90">
        <f t="shared" si="34"/>
        <v>7.92</v>
      </c>
      <c r="AI90">
        <v>1</v>
      </c>
      <c r="AK90">
        <v>2</v>
      </c>
    </row>
    <row r="91" spans="1:52" x14ac:dyDescent="0.3">
      <c r="A91" s="18" t="s">
        <v>3</v>
      </c>
      <c r="B91" s="13" t="s">
        <v>131</v>
      </c>
      <c r="C91" s="13"/>
      <c r="D91" s="13" t="str">
        <f t="shared" si="35"/>
        <v/>
      </c>
      <c r="E91" s="13">
        <v>1</v>
      </c>
      <c r="F91" s="13">
        <v>2017</v>
      </c>
      <c r="G91" s="13">
        <f t="shared" si="36"/>
        <v>400</v>
      </c>
      <c r="H91" s="13" t="s">
        <v>35</v>
      </c>
      <c r="I91" s="13" t="s">
        <v>177</v>
      </c>
      <c r="J91" s="13">
        <f t="shared" si="37"/>
        <v>2017</v>
      </c>
      <c r="K91" s="13">
        <f t="shared" si="38"/>
        <v>400</v>
      </c>
      <c r="L91" s="16">
        <v>3.65</v>
      </c>
      <c r="M91" s="16">
        <v>0.3</v>
      </c>
      <c r="N91" s="16">
        <v>0</v>
      </c>
      <c r="O91" s="16">
        <v>0.3</v>
      </c>
      <c r="P91" s="16">
        <v>0.3</v>
      </c>
      <c r="Q91" s="16">
        <f t="shared" si="26"/>
        <v>4.55</v>
      </c>
      <c r="R91" s="25"/>
      <c r="S91" s="25">
        <f t="shared" si="27"/>
        <v>0</v>
      </c>
      <c r="T91" s="25"/>
      <c r="U91" s="16">
        <f t="shared" si="28"/>
        <v>-4.55</v>
      </c>
      <c r="V91" s="16">
        <f t="shared" si="29"/>
        <v>-2.73</v>
      </c>
      <c r="W91" s="16">
        <f t="shared" si="30"/>
        <v>-1.82</v>
      </c>
      <c r="Z91">
        <v>1</v>
      </c>
      <c r="AA91">
        <f t="shared" si="31"/>
        <v>8</v>
      </c>
      <c r="AB91">
        <v>5</v>
      </c>
      <c r="AC91">
        <v>24</v>
      </c>
      <c r="AD91">
        <f t="shared" si="32"/>
        <v>15</v>
      </c>
      <c r="AE91">
        <v>0.4</v>
      </c>
      <c r="AF91">
        <f t="shared" si="33"/>
        <v>0.44000000000000006</v>
      </c>
      <c r="AG91">
        <f t="shared" si="34"/>
        <v>10.560000000000002</v>
      </c>
      <c r="AK91">
        <v>1</v>
      </c>
    </row>
    <row r="92" spans="1:52" x14ac:dyDescent="0.3">
      <c r="A92" s="18" t="s">
        <v>3</v>
      </c>
      <c r="B92" s="13" t="s">
        <v>131</v>
      </c>
      <c r="C92" s="13"/>
      <c r="D92" s="13" t="str">
        <f t="shared" si="35"/>
        <v/>
      </c>
      <c r="E92" s="13">
        <v>0</v>
      </c>
      <c r="F92" s="13">
        <v>2028</v>
      </c>
      <c r="G92" s="13">
        <f t="shared" si="36"/>
        <v>1000</v>
      </c>
      <c r="H92" s="13" t="s">
        <v>39</v>
      </c>
      <c r="I92" s="13" t="s">
        <v>170</v>
      </c>
      <c r="J92" s="13">
        <f t="shared" si="37"/>
        <v>2028</v>
      </c>
      <c r="K92" s="13">
        <f t="shared" si="38"/>
        <v>1000</v>
      </c>
      <c r="L92" s="16">
        <v>5.65</v>
      </c>
      <c r="M92" s="16">
        <v>0.3</v>
      </c>
      <c r="N92" s="16">
        <v>0</v>
      </c>
      <c r="O92" s="16">
        <v>0.3</v>
      </c>
      <c r="P92" s="16">
        <v>0.3</v>
      </c>
      <c r="Q92" s="16">
        <f t="shared" si="26"/>
        <v>6.55</v>
      </c>
      <c r="R92" s="16">
        <v>9.1999999999999993</v>
      </c>
      <c r="S92" s="16">
        <f t="shared" si="27"/>
        <v>10.119999999999999</v>
      </c>
      <c r="T92" s="16">
        <v>12.85</v>
      </c>
      <c r="U92" s="16">
        <f t="shared" si="28"/>
        <v>2.6499999999999995</v>
      </c>
      <c r="V92" s="16">
        <f t="shared" si="29"/>
        <v>1.5899999999999996</v>
      </c>
      <c r="W92" s="16">
        <f t="shared" si="30"/>
        <v>1.0599999999999998</v>
      </c>
      <c r="Z92">
        <v>1</v>
      </c>
      <c r="AA92">
        <f t="shared" si="31"/>
        <v>4</v>
      </c>
      <c r="AB92">
        <v>5</v>
      </c>
      <c r="AC92">
        <v>12</v>
      </c>
      <c r="AD92">
        <f t="shared" si="32"/>
        <v>10</v>
      </c>
      <c r="AE92">
        <v>1</v>
      </c>
      <c r="AF92">
        <f t="shared" si="33"/>
        <v>1.1000000000000001</v>
      </c>
      <c r="AG92">
        <f t="shared" si="34"/>
        <v>13.200000000000001</v>
      </c>
      <c r="AK92">
        <v>0</v>
      </c>
    </row>
    <row r="93" spans="1:52" x14ac:dyDescent="0.3">
      <c r="A93" s="18" t="s">
        <v>3</v>
      </c>
      <c r="B93" s="13" t="s">
        <v>131</v>
      </c>
      <c r="C93" s="13"/>
      <c r="D93" s="13" t="str">
        <f t="shared" si="35"/>
        <v/>
      </c>
      <c r="E93" s="13">
        <v>1</v>
      </c>
      <c r="F93" s="13" t="s">
        <v>48</v>
      </c>
      <c r="G93" s="13">
        <f t="shared" si="36"/>
        <v>100</v>
      </c>
      <c r="H93" s="13" t="s">
        <v>51</v>
      </c>
      <c r="I93" s="13" t="s">
        <v>184</v>
      </c>
      <c r="J93" s="13" t="str">
        <f t="shared" si="37"/>
        <v>1996-45</v>
      </c>
      <c r="K93" s="13">
        <f t="shared" si="38"/>
        <v>100</v>
      </c>
      <c r="L93" s="16">
        <v>20</v>
      </c>
      <c r="M93" s="16">
        <v>0.3</v>
      </c>
      <c r="N93" s="16">
        <v>0</v>
      </c>
      <c r="O93" s="16">
        <v>0.3</v>
      </c>
      <c r="P93" s="16">
        <v>0.3</v>
      </c>
      <c r="Q93" s="16">
        <f t="shared" si="26"/>
        <v>20.900000000000002</v>
      </c>
      <c r="R93" s="20"/>
      <c r="S93" s="20">
        <f t="shared" si="27"/>
        <v>0</v>
      </c>
      <c r="T93" s="20"/>
      <c r="U93" s="16">
        <f t="shared" si="28"/>
        <v>-20.900000000000002</v>
      </c>
      <c r="V93" s="16">
        <f t="shared" si="29"/>
        <v>-12.540000000000001</v>
      </c>
      <c r="W93" s="16">
        <f t="shared" si="30"/>
        <v>-8.3600000000000012</v>
      </c>
      <c r="Z93">
        <v>1</v>
      </c>
      <c r="AA93">
        <f t="shared" si="31"/>
        <v>0</v>
      </c>
      <c r="AB93">
        <v>5</v>
      </c>
      <c r="AC93">
        <v>1</v>
      </c>
      <c r="AD93">
        <f t="shared" si="32"/>
        <v>0</v>
      </c>
      <c r="AE93">
        <v>0.1</v>
      </c>
      <c r="AF93">
        <f t="shared" si="33"/>
        <v>0.11000000000000001</v>
      </c>
      <c r="AG93">
        <f t="shared" si="34"/>
        <v>0.11000000000000001</v>
      </c>
      <c r="AK93">
        <v>1</v>
      </c>
    </row>
    <row r="94" spans="1:52" x14ac:dyDescent="0.3">
      <c r="A94" s="18" t="s">
        <v>3</v>
      </c>
      <c r="B94" s="13" t="s">
        <v>131</v>
      </c>
      <c r="C94" s="13"/>
      <c r="D94" s="13" t="str">
        <f t="shared" si="35"/>
        <v/>
      </c>
      <c r="E94" s="13">
        <v>1</v>
      </c>
      <c r="F94" s="13" t="s">
        <v>49</v>
      </c>
      <c r="G94" s="13">
        <f t="shared" si="36"/>
        <v>100</v>
      </c>
      <c r="H94" s="13" t="s">
        <v>50</v>
      </c>
      <c r="I94" s="13" t="s">
        <v>185</v>
      </c>
      <c r="J94" s="13" t="str">
        <f t="shared" si="37"/>
        <v>1996-60</v>
      </c>
      <c r="K94" s="13">
        <f t="shared" si="38"/>
        <v>100</v>
      </c>
      <c r="L94" s="16">
        <v>25</v>
      </c>
      <c r="M94" s="16">
        <v>0.3</v>
      </c>
      <c r="N94" s="16">
        <v>0</v>
      </c>
      <c r="O94" s="16">
        <v>0.3</v>
      </c>
      <c r="P94" s="16">
        <v>0.3</v>
      </c>
      <c r="Q94" s="16">
        <f t="shared" si="26"/>
        <v>25.900000000000002</v>
      </c>
      <c r="R94" s="20"/>
      <c r="S94" s="20">
        <f t="shared" si="27"/>
        <v>0</v>
      </c>
      <c r="T94" s="20"/>
      <c r="U94" s="16">
        <f t="shared" si="28"/>
        <v>-25.900000000000002</v>
      </c>
      <c r="V94" s="16">
        <f t="shared" si="29"/>
        <v>-15.540000000000001</v>
      </c>
      <c r="W94" s="16">
        <f t="shared" si="30"/>
        <v>-10.360000000000001</v>
      </c>
      <c r="Z94">
        <v>1</v>
      </c>
      <c r="AA94">
        <f t="shared" si="31"/>
        <v>0</v>
      </c>
      <c r="AB94">
        <v>5</v>
      </c>
      <c r="AC94">
        <v>1</v>
      </c>
      <c r="AD94">
        <f t="shared" si="32"/>
        <v>0</v>
      </c>
      <c r="AE94">
        <v>0.1</v>
      </c>
      <c r="AF94">
        <f t="shared" si="33"/>
        <v>0.11000000000000001</v>
      </c>
      <c r="AG94">
        <f t="shared" si="34"/>
        <v>0.11000000000000001</v>
      </c>
      <c r="AK94">
        <v>1</v>
      </c>
    </row>
    <row r="95" spans="1:52" x14ac:dyDescent="0.3">
      <c r="A95" s="18" t="s">
        <v>3</v>
      </c>
      <c r="B95" s="13" t="s">
        <v>131</v>
      </c>
      <c r="C95" s="13"/>
      <c r="D95" s="13" t="str">
        <f t="shared" si="35"/>
        <v/>
      </c>
      <c r="E95" s="13">
        <v>1</v>
      </c>
      <c r="F95" s="13">
        <v>2006</v>
      </c>
      <c r="G95" s="13">
        <f t="shared" si="36"/>
        <v>1000</v>
      </c>
      <c r="H95" s="13" t="s">
        <v>40</v>
      </c>
      <c r="I95" s="13" t="s">
        <v>186</v>
      </c>
      <c r="J95" s="13">
        <f t="shared" si="37"/>
        <v>2006</v>
      </c>
      <c r="K95" s="13" t="s">
        <v>246</v>
      </c>
      <c r="L95" s="16">
        <v>87.45</v>
      </c>
      <c r="M95" s="16">
        <v>0.3</v>
      </c>
      <c r="N95" s="16">
        <v>0</v>
      </c>
      <c r="O95" s="16">
        <v>0.3</v>
      </c>
      <c r="P95" s="16">
        <v>0.3</v>
      </c>
      <c r="Q95" s="16">
        <f t="shared" si="26"/>
        <v>88.35</v>
      </c>
      <c r="R95" s="16">
        <v>135</v>
      </c>
      <c r="S95" s="16">
        <f t="shared" si="27"/>
        <v>148.5</v>
      </c>
      <c r="U95" s="16">
        <f t="shared" si="28"/>
        <v>46.650000000000006</v>
      </c>
      <c r="V95" s="16">
        <f t="shared" si="29"/>
        <v>27.990000000000002</v>
      </c>
      <c r="W95" s="16">
        <f t="shared" si="30"/>
        <v>18.660000000000004</v>
      </c>
      <c r="Z95">
        <v>1</v>
      </c>
      <c r="AA95">
        <f t="shared" si="31"/>
        <v>0</v>
      </c>
      <c r="AB95">
        <v>5</v>
      </c>
      <c r="AC95">
        <v>1</v>
      </c>
      <c r="AD95">
        <f t="shared" si="32"/>
        <v>0</v>
      </c>
      <c r="AE95">
        <v>1</v>
      </c>
      <c r="AF95">
        <f t="shared" si="33"/>
        <v>1.1000000000000001</v>
      </c>
      <c r="AG95">
        <f t="shared" si="34"/>
        <v>1.1000000000000001</v>
      </c>
      <c r="AK95">
        <v>1</v>
      </c>
    </row>
    <row r="96" spans="1:52" x14ac:dyDescent="0.3">
      <c r="A96" s="18" t="s">
        <v>3</v>
      </c>
      <c r="B96" s="13" t="s">
        <v>131</v>
      </c>
      <c r="C96" s="13"/>
      <c r="D96" s="13" t="str">
        <f t="shared" si="35"/>
        <v/>
      </c>
      <c r="E96" s="13"/>
      <c r="F96" s="13">
        <v>7030001</v>
      </c>
      <c r="G96" s="13">
        <f t="shared" si="36"/>
        <v>1000</v>
      </c>
      <c r="H96" s="13" t="s">
        <v>134</v>
      </c>
      <c r="I96" s="13" t="s">
        <v>134</v>
      </c>
      <c r="J96" s="13">
        <f t="shared" si="37"/>
        <v>7030001</v>
      </c>
      <c r="K96" s="13">
        <f t="shared" ref="K96:K109" si="39">G96</f>
        <v>1000</v>
      </c>
      <c r="L96" s="16">
        <v>13.5</v>
      </c>
      <c r="M96" s="16">
        <v>0.3</v>
      </c>
      <c r="N96" s="16">
        <v>0</v>
      </c>
      <c r="O96" s="16">
        <v>0.3</v>
      </c>
      <c r="P96" s="16">
        <v>0.3</v>
      </c>
      <c r="Q96" s="16">
        <f t="shared" si="26"/>
        <v>14.400000000000002</v>
      </c>
      <c r="R96" s="16">
        <v>19.75</v>
      </c>
      <c r="S96" s="16">
        <f t="shared" si="27"/>
        <v>21.725000000000001</v>
      </c>
      <c r="T96" s="16">
        <v>32.9</v>
      </c>
      <c r="U96" s="16">
        <f t="shared" si="28"/>
        <v>5.3499999999999979</v>
      </c>
      <c r="V96" s="16">
        <f t="shared" si="29"/>
        <v>3.2099999999999986</v>
      </c>
      <c r="W96" s="16">
        <f t="shared" si="30"/>
        <v>2.1399999999999992</v>
      </c>
      <c r="Z96">
        <v>1</v>
      </c>
      <c r="AA96">
        <f t="shared" si="31"/>
        <v>4</v>
      </c>
      <c r="AB96">
        <v>5</v>
      </c>
      <c r="AC96">
        <v>12</v>
      </c>
      <c r="AD96">
        <f t="shared" si="32"/>
        <v>10</v>
      </c>
      <c r="AE96">
        <v>1</v>
      </c>
      <c r="AF96">
        <f t="shared" si="33"/>
        <v>1.1000000000000001</v>
      </c>
      <c r="AG96">
        <f t="shared" si="34"/>
        <v>13.200000000000001</v>
      </c>
    </row>
    <row r="97" spans="1:52" x14ac:dyDescent="0.3">
      <c r="A97" s="18" t="s">
        <v>3</v>
      </c>
      <c r="B97" s="13" t="s">
        <v>131</v>
      </c>
      <c r="C97" s="13"/>
      <c r="D97" s="13" t="str">
        <f t="shared" si="35"/>
        <v/>
      </c>
      <c r="E97" s="13"/>
      <c r="F97" s="13">
        <v>7031001</v>
      </c>
      <c r="G97" s="13">
        <f t="shared" si="36"/>
        <v>1000</v>
      </c>
      <c r="H97" s="13" t="s">
        <v>135</v>
      </c>
      <c r="I97" s="13" t="s">
        <v>189</v>
      </c>
      <c r="J97" s="13">
        <f t="shared" si="37"/>
        <v>7031001</v>
      </c>
      <c r="K97" s="13">
        <f t="shared" si="39"/>
        <v>1000</v>
      </c>
      <c r="L97" s="16">
        <v>14.5</v>
      </c>
      <c r="M97" s="16">
        <v>0.3</v>
      </c>
      <c r="N97" s="16">
        <v>0</v>
      </c>
      <c r="O97" s="16">
        <v>0.3</v>
      </c>
      <c r="P97" s="16">
        <v>0.3</v>
      </c>
      <c r="Q97" s="16">
        <f t="shared" ref="Q97:Q128" si="40">+L97+M97+N97+O97+P97</f>
        <v>15.400000000000002</v>
      </c>
      <c r="R97" s="16">
        <v>20</v>
      </c>
      <c r="S97" s="16">
        <f t="shared" ref="S97:S128" si="41">R97*1.1</f>
        <v>22</v>
      </c>
      <c r="T97" s="16">
        <v>32.6</v>
      </c>
      <c r="U97" s="16">
        <f t="shared" ref="U97:U128" si="42">R97-Q97</f>
        <v>4.5999999999999979</v>
      </c>
      <c r="V97" s="16">
        <f t="shared" ref="V97:V128" si="43">U97*0.6</f>
        <v>2.7599999999999985</v>
      </c>
      <c r="W97" s="16">
        <f t="shared" ref="W97:W128" si="44">U97*0.4</f>
        <v>1.8399999999999992</v>
      </c>
      <c r="Z97">
        <v>1</v>
      </c>
      <c r="AA97">
        <f t="shared" ref="AA97:AA128" si="45">INT(AC97/3)</f>
        <v>4</v>
      </c>
      <c r="AB97">
        <v>5</v>
      </c>
      <c r="AC97">
        <v>12</v>
      </c>
      <c r="AD97">
        <f t="shared" ref="AD97:AD128" si="46">IF(AC97=24,15,IF(AC97=12,10,0))</f>
        <v>10</v>
      </c>
      <c r="AE97">
        <v>1</v>
      </c>
      <c r="AF97">
        <f t="shared" ref="AF97:AF128" si="47">AE97*1.1</f>
        <v>1.1000000000000001</v>
      </c>
      <c r="AG97">
        <f t="shared" ref="AG97:AG128" si="48">AF97*AC97</f>
        <v>13.200000000000001</v>
      </c>
    </row>
    <row r="98" spans="1:52" x14ac:dyDescent="0.3">
      <c r="A98" s="18" t="s">
        <v>3</v>
      </c>
      <c r="B98" s="13" t="s">
        <v>131</v>
      </c>
      <c r="C98" s="13"/>
      <c r="D98" s="13" t="str">
        <f t="shared" si="35"/>
        <v/>
      </c>
      <c r="E98" s="13"/>
      <c r="F98" s="13">
        <v>7032001</v>
      </c>
      <c r="G98" s="13">
        <f t="shared" si="36"/>
        <v>1000</v>
      </c>
      <c r="H98" s="13" t="s">
        <v>136</v>
      </c>
      <c r="I98" s="13" t="s">
        <v>190</v>
      </c>
      <c r="J98" s="13">
        <f t="shared" si="37"/>
        <v>7032001</v>
      </c>
      <c r="K98" s="13">
        <f t="shared" si="39"/>
        <v>1000</v>
      </c>
      <c r="L98" s="16">
        <v>12.5</v>
      </c>
      <c r="M98" s="16">
        <v>0.3</v>
      </c>
      <c r="N98" s="16">
        <v>0</v>
      </c>
      <c r="O98" s="16">
        <v>0.3</v>
      </c>
      <c r="P98" s="16">
        <v>0.3</v>
      </c>
      <c r="Q98" s="16">
        <f t="shared" si="40"/>
        <v>13.400000000000002</v>
      </c>
      <c r="R98" s="20"/>
      <c r="S98" s="20">
        <f t="shared" si="41"/>
        <v>0</v>
      </c>
      <c r="T98" s="20"/>
      <c r="U98" s="16">
        <f t="shared" si="42"/>
        <v>-13.400000000000002</v>
      </c>
      <c r="V98" s="16">
        <f t="shared" si="43"/>
        <v>-8.0400000000000009</v>
      </c>
      <c r="W98" s="16">
        <f t="shared" si="44"/>
        <v>-5.3600000000000012</v>
      </c>
      <c r="Z98">
        <v>1</v>
      </c>
      <c r="AA98">
        <f t="shared" si="45"/>
        <v>4</v>
      </c>
      <c r="AB98">
        <v>5</v>
      </c>
      <c r="AC98">
        <v>12</v>
      </c>
      <c r="AD98">
        <f t="shared" si="46"/>
        <v>10</v>
      </c>
      <c r="AE98">
        <v>1</v>
      </c>
      <c r="AF98">
        <f t="shared" si="47"/>
        <v>1.1000000000000001</v>
      </c>
      <c r="AG98">
        <f t="shared" si="48"/>
        <v>13.200000000000001</v>
      </c>
    </row>
    <row r="99" spans="1:52" x14ac:dyDescent="0.3">
      <c r="A99" s="18" t="s">
        <v>3</v>
      </c>
      <c r="B99" s="13" t="s">
        <v>131</v>
      </c>
      <c r="C99" s="13"/>
      <c r="D99" s="13" t="str">
        <f t="shared" si="35"/>
        <v/>
      </c>
      <c r="E99" s="13"/>
      <c r="F99" s="13">
        <v>7034001</v>
      </c>
      <c r="G99" s="13">
        <f t="shared" si="36"/>
        <v>1000</v>
      </c>
      <c r="H99" s="13" t="s">
        <v>137</v>
      </c>
      <c r="I99" s="13" t="s">
        <v>191</v>
      </c>
      <c r="J99" s="13">
        <f t="shared" si="37"/>
        <v>7034001</v>
      </c>
      <c r="K99" s="13">
        <f t="shared" si="39"/>
        <v>1000</v>
      </c>
      <c r="L99" s="16">
        <v>13.25</v>
      </c>
      <c r="M99" s="16">
        <v>0.3</v>
      </c>
      <c r="N99" s="16">
        <v>0</v>
      </c>
      <c r="O99" s="16">
        <v>0.3</v>
      </c>
      <c r="P99" s="16">
        <v>0.3</v>
      </c>
      <c r="Q99" s="16">
        <f t="shared" si="40"/>
        <v>14.150000000000002</v>
      </c>
      <c r="R99" s="20"/>
      <c r="S99" s="20">
        <f t="shared" si="41"/>
        <v>0</v>
      </c>
      <c r="T99" s="20"/>
      <c r="U99" s="16">
        <f t="shared" si="42"/>
        <v>-14.150000000000002</v>
      </c>
      <c r="V99" s="16">
        <f t="shared" si="43"/>
        <v>-8.49</v>
      </c>
      <c r="W99" s="16">
        <f t="shared" si="44"/>
        <v>-5.660000000000001</v>
      </c>
      <c r="Z99">
        <v>1</v>
      </c>
      <c r="AA99">
        <f t="shared" si="45"/>
        <v>4</v>
      </c>
      <c r="AB99">
        <v>5</v>
      </c>
      <c r="AC99">
        <v>12</v>
      </c>
      <c r="AD99">
        <f t="shared" si="46"/>
        <v>10</v>
      </c>
      <c r="AE99">
        <v>1</v>
      </c>
      <c r="AF99">
        <f t="shared" si="47"/>
        <v>1.1000000000000001</v>
      </c>
      <c r="AG99">
        <f t="shared" si="48"/>
        <v>13.200000000000001</v>
      </c>
    </row>
    <row r="100" spans="1:52" x14ac:dyDescent="0.3">
      <c r="A100" s="18" t="s">
        <v>3</v>
      </c>
      <c r="B100" s="13" t="s">
        <v>131</v>
      </c>
      <c r="C100" s="13"/>
      <c r="D100" s="13" t="str">
        <f t="shared" si="35"/>
        <v/>
      </c>
      <c r="E100" s="13"/>
      <c r="F100" s="13">
        <v>7035001</v>
      </c>
      <c r="G100" s="13">
        <f t="shared" si="36"/>
        <v>1000</v>
      </c>
      <c r="H100" s="13" t="s">
        <v>138</v>
      </c>
      <c r="I100" s="13" t="s">
        <v>192</v>
      </c>
      <c r="J100" s="13">
        <f t="shared" si="37"/>
        <v>7035001</v>
      </c>
      <c r="K100" s="13">
        <f t="shared" si="39"/>
        <v>1000</v>
      </c>
      <c r="L100" s="16">
        <v>13.85</v>
      </c>
      <c r="M100" s="16">
        <v>0.3</v>
      </c>
      <c r="N100" s="16">
        <v>0</v>
      </c>
      <c r="O100" s="16">
        <v>0.3</v>
      </c>
      <c r="P100" s="16">
        <v>0.3</v>
      </c>
      <c r="Q100" s="16">
        <f t="shared" si="40"/>
        <v>14.750000000000002</v>
      </c>
      <c r="R100" s="20"/>
      <c r="S100" s="20">
        <f t="shared" si="41"/>
        <v>0</v>
      </c>
      <c r="T100" s="20"/>
      <c r="U100" s="16">
        <f t="shared" si="42"/>
        <v>-14.750000000000002</v>
      </c>
      <c r="V100" s="16">
        <f t="shared" si="43"/>
        <v>-8.8500000000000014</v>
      </c>
      <c r="W100" s="16">
        <f t="shared" si="44"/>
        <v>-5.9000000000000012</v>
      </c>
      <c r="Z100">
        <v>1</v>
      </c>
      <c r="AA100">
        <f t="shared" si="45"/>
        <v>4</v>
      </c>
      <c r="AB100">
        <v>5</v>
      </c>
      <c r="AC100">
        <v>12</v>
      </c>
      <c r="AD100">
        <f t="shared" si="46"/>
        <v>10</v>
      </c>
      <c r="AE100">
        <v>1</v>
      </c>
      <c r="AF100">
        <f t="shared" si="47"/>
        <v>1.1000000000000001</v>
      </c>
      <c r="AG100">
        <f t="shared" si="48"/>
        <v>13.200000000000001</v>
      </c>
    </row>
    <row r="101" spans="1:52" x14ac:dyDescent="0.3">
      <c r="A101" s="18" t="s">
        <v>3</v>
      </c>
      <c r="B101" s="13" t="s">
        <v>131</v>
      </c>
      <c r="C101" s="13"/>
      <c r="D101" s="13" t="str">
        <f t="shared" si="35"/>
        <v/>
      </c>
      <c r="E101" s="13"/>
      <c r="F101" s="13">
        <v>7040001</v>
      </c>
      <c r="G101" s="13">
        <f t="shared" si="36"/>
        <v>1000</v>
      </c>
      <c r="H101" s="13" t="s">
        <v>139</v>
      </c>
      <c r="I101" s="13" t="s">
        <v>193</v>
      </c>
      <c r="J101" s="13">
        <f t="shared" si="37"/>
        <v>7040001</v>
      </c>
      <c r="K101" s="13">
        <f t="shared" si="39"/>
        <v>1000</v>
      </c>
      <c r="L101" s="16">
        <v>9.5</v>
      </c>
      <c r="M101" s="16">
        <v>0.3</v>
      </c>
      <c r="N101" s="16">
        <v>0</v>
      </c>
      <c r="O101" s="16">
        <v>0.3</v>
      </c>
      <c r="P101" s="16">
        <v>0.3</v>
      </c>
      <c r="Q101" s="16">
        <f t="shared" si="40"/>
        <v>10.400000000000002</v>
      </c>
      <c r="R101" s="16">
        <v>12.05</v>
      </c>
      <c r="S101" s="16">
        <f t="shared" si="41"/>
        <v>13.255000000000003</v>
      </c>
      <c r="T101" s="16">
        <v>19.7</v>
      </c>
      <c r="U101" s="16">
        <f t="shared" si="42"/>
        <v>1.6499999999999986</v>
      </c>
      <c r="V101" s="16">
        <f t="shared" si="43"/>
        <v>0.9899999999999991</v>
      </c>
      <c r="W101" s="16">
        <f t="shared" si="44"/>
        <v>0.65999999999999948</v>
      </c>
      <c r="Z101">
        <v>1</v>
      </c>
      <c r="AA101">
        <f t="shared" si="45"/>
        <v>4</v>
      </c>
      <c r="AB101">
        <v>5</v>
      </c>
      <c r="AC101">
        <v>12</v>
      </c>
      <c r="AD101">
        <f t="shared" si="46"/>
        <v>10</v>
      </c>
      <c r="AE101">
        <v>1</v>
      </c>
      <c r="AF101">
        <f t="shared" si="47"/>
        <v>1.1000000000000001</v>
      </c>
      <c r="AG101">
        <f t="shared" si="48"/>
        <v>13.200000000000001</v>
      </c>
    </row>
    <row r="102" spans="1:52" x14ac:dyDescent="0.3">
      <c r="A102" s="18" t="s">
        <v>3</v>
      </c>
      <c r="B102" s="13" t="s">
        <v>131</v>
      </c>
      <c r="C102" s="13"/>
      <c r="D102" s="13" t="str">
        <f t="shared" si="35"/>
        <v/>
      </c>
      <c r="E102" s="13"/>
      <c r="F102" s="13">
        <v>7041236</v>
      </c>
      <c r="G102" s="13">
        <f t="shared" si="36"/>
        <v>236</v>
      </c>
      <c r="H102" s="13" t="s">
        <v>140</v>
      </c>
      <c r="I102" s="13" t="s">
        <v>194</v>
      </c>
      <c r="J102" s="13">
        <f t="shared" si="37"/>
        <v>7041236</v>
      </c>
      <c r="K102" s="13">
        <f t="shared" si="39"/>
        <v>236</v>
      </c>
      <c r="L102" s="16">
        <v>9.5</v>
      </c>
      <c r="M102" s="16">
        <v>0.3</v>
      </c>
      <c r="N102" s="16">
        <v>0</v>
      </c>
      <c r="O102" s="16">
        <v>0.3</v>
      </c>
      <c r="P102" s="16">
        <v>0.3</v>
      </c>
      <c r="Q102" s="16">
        <f t="shared" si="40"/>
        <v>10.400000000000002</v>
      </c>
      <c r="R102" s="16">
        <v>22.8</v>
      </c>
      <c r="S102" s="16">
        <f t="shared" si="41"/>
        <v>25.080000000000002</v>
      </c>
      <c r="T102" s="16">
        <v>37.799999999999997</v>
      </c>
      <c r="U102" s="16">
        <f t="shared" si="42"/>
        <v>12.399999999999999</v>
      </c>
      <c r="V102" s="16">
        <f t="shared" si="43"/>
        <v>7.4399999999999986</v>
      </c>
      <c r="W102" s="16">
        <f t="shared" si="44"/>
        <v>4.96</v>
      </c>
      <c r="Z102">
        <v>1</v>
      </c>
      <c r="AA102">
        <f t="shared" si="45"/>
        <v>8</v>
      </c>
      <c r="AB102">
        <v>5</v>
      </c>
      <c r="AC102">
        <v>24</v>
      </c>
      <c r="AD102">
        <f t="shared" si="46"/>
        <v>15</v>
      </c>
      <c r="AE102">
        <v>0.23599999999999999</v>
      </c>
      <c r="AF102">
        <f t="shared" si="47"/>
        <v>0.2596</v>
      </c>
      <c r="AG102">
        <f t="shared" si="48"/>
        <v>6.2303999999999995</v>
      </c>
    </row>
    <row r="103" spans="1:52" x14ac:dyDescent="0.3">
      <c r="A103" s="18" t="s">
        <v>3</v>
      </c>
      <c r="B103" s="13" t="s">
        <v>131</v>
      </c>
      <c r="C103" s="13"/>
      <c r="D103" s="13" t="str">
        <f t="shared" si="35"/>
        <v/>
      </c>
      <c r="E103" s="13">
        <v>0</v>
      </c>
      <c r="F103" s="13">
        <v>7060100</v>
      </c>
      <c r="G103" s="13">
        <f t="shared" ref="G103:G137" si="49">AE103*1000</f>
        <v>100</v>
      </c>
      <c r="H103" s="13" t="s">
        <v>195</v>
      </c>
      <c r="I103" s="13" t="s">
        <v>195</v>
      </c>
      <c r="J103" s="13">
        <f t="shared" si="37"/>
        <v>7060100</v>
      </c>
      <c r="K103" s="13">
        <f t="shared" si="39"/>
        <v>100</v>
      </c>
      <c r="L103" s="16">
        <v>8.5</v>
      </c>
      <c r="M103" s="16">
        <v>0.3</v>
      </c>
      <c r="N103" s="16">
        <v>0</v>
      </c>
      <c r="O103" s="16">
        <v>0.3</v>
      </c>
      <c r="P103" s="16">
        <v>0.3</v>
      </c>
      <c r="Q103" s="16">
        <f t="shared" si="40"/>
        <v>9.4000000000000021</v>
      </c>
      <c r="R103" s="16">
        <v>19.5</v>
      </c>
      <c r="S103" s="16">
        <f t="shared" si="41"/>
        <v>21.450000000000003</v>
      </c>
      <c r="T103" s="16">
        <v>32</v>
      </c>
      <c r="U103" s="16">
        <f t="shared" si="42"/>
        <v>10.099999999999998</v>
      </c>
      <c r="V103" s="16">
        <f t="shared" si="43"/>
        <v>6.0599999999999987</v>
      </c>
      <c r="W103" s="16">
        <f t="shared" si="44"/>
        <v>4.0399999999999991</v>
      </c>
      <c r="Z103">
        <v>1</v>
      </c>
      <c r="AA103">
        <f t="shared" si="45"/>
        <v>4</v>
      </c>
      <c r="AB103">
        <v>5</v>
      </c>
      <c r="AC103">
        <v>12</v>
      </c>
      <c r="AD103">
        <f t="shared" si="46"/>
        <v>10</v>
      </c>
      <c r="AE103">
        <v>0.1</v>
      </c>
      <c r="AF103">
        <f t="shared" si="47"/>
        <v>0.11000000000000001</v>
      </c>
      <c r="AG103">
        <f t="shared" si="48"/>
        <v>1.3200000000000003</v>
      </c>
      <c r="AJ103">
        <v>6</v>
      </c>
    </row>
    <row r="104" spans="1:52" x14ac:dyDescent="0.3">
      <c r="A104" s="18" t="s">
        <v>3</v>
      </c>
      <c r="B104" s="13" t="s">
        <v>131</v>
      </c>
      <c r="C104" s="13"/>
      <c r="D104" s="13" t="str">
        <f t="shared" si="35"/>
        <v/>
      </c>
      <c r="E104" s="13"/>
      <c r="F104">
        <v>1136</v>
      </c>
      <c r="G104" s="13">
        <f t="shared" si="49"/>
        <v>1000</v>
      </c>
      <c r="H104" s="13" t="s">
        <v>141</v>
      </c>
      <c r="I104" s="13"/>
      <c r="J104" s="13">
        <f t="shared" si="37"/>
        <v>1136</v>
      </c>
      <c r="K104" s="13">
        <f t="shared" si="39"/>
        <v>1000</v>
      </c>
      <c r="L104" s="16">
        <v>115</v>
      </c>
      <c r="M104" s="16">
        <v>0.3</v>
      </c>
      <c r="N104" s="16">
        <v>0</v>
      </c>
      <c r="O104" s="16">
        <v>0.3</v>
      </c>
      <c r="P104" s="16">
        <v>0.3</v>
      </c>
      <c r="Q104" s="16">
        <f t="shared" si="40"/>
        <v>115.89999999999999</v>
      </c>
      <c r="R104" s="20"/>
      <c r="S104" s="20">
        <f t="shared" si="41"/>
        <v>0</v>
      </c>
      <c r="T104" s="20"/>
      <c r="U104" s="16">
        <f t="shared" si="42"/>
        <v>-115.89999999999999</v>
      </c>
      <c r="V104" s="16">
        <f t="shared" si="43"/>
        <v>-69.539999999999992</v>
      </c>
      <c r="W104" s="16">
        <f t="shared" si="44"/>
        <v>-46.36</v>
      </c>
      <c r="Z104">
        <v>1</v>
      </c>
      <c r="AA104">
        <f t="shared" si="45"/>
        <v>0</v>
      </c>
      <c r="AB104">
        <v>5</v>
      </c>
      <c r="AC104">
        <v>1</v>
      </c>
      <c r="AD104">
        <f t="shared" si="46"/>
        <v>0</v>
      </c>
      <c r="AE104">
        <v>1</v>
      </c>
      <c r="AF104">
        <f t="shared" si="47"/>
        <v>1.1000000000000001</v>
      </c>
      <c r="AG104">
        <f t="shared" si="48"/>
        <v>1.1000000000000001</v>
      </c>
    </row>
    <row r="105" spans="1:52" s="22" customFormat="1" x14ac:dyDescent="0.3">
      <c r="A105" s="19" t="s">
        <v>3</v>
      </c>
      <c r="B105" s="19" t="s">
        <v>313</v>
      </c>
      <c r="C105" s="19"/>
      <c r="D105" s="13" t="str">
        <f t="shared" si="35"/>
        <v/>
      </c>
      <c r="E105" s="19"/>
      <c r="F105" s="22">
        <v>2236</v>
      </c>
      <c r="G105" s="19">
        <f t="shared" si="49"/>
        <v>120</v>
      </c>
      <c r="H105" s="19" t="s">
        <v>121</v>
      </c>
      <c r="I105" s="19" t="s">
        <v>206</v>
      </c>
      <c r="J105" s="13">
        <f t="shared" ref="J105:J137" si="50">F105</f>
        <v>2236</v>
      </c>
      <c r="K105" s="13">
        <f t="shared" si="39"/>
        <v>120</v>
      </c>
      <c r="L105" s="20"/>
      <c r="M105" s="16">
        <v>0.3</v>
      </c>
      <c r="N105" s="16">
        <v>0</v>
      </c>
      <c r="O105" s="16">
        <v>0.3</v>
      </c>
      <c r="P105" s="16">
        <v>0.3</v>
      </c>
      <c r="Q105" s="16">
        <f t="shared" si="40"/>
        <v>0.89999999999999991</v>
      </c>
      <c r="R105" s="20">
        <v>12.9</v>
      </c>
      <c r="S105" s="16">
        <f t="shared" si="41"/>
        <v>14.190000000000001</v>
      </c>
      <c r="T105" s="20">
        <v>20.6</v>
      </c>
      <c r="U105" s="16">
        <f t="shared" si="42"/>
        <v>12</v>
      </c>
      <c r="V105" s="16">
        <f t="shared" si="43"/>
        <v>7.1999999999999993</v>
      </c>
      <c r="W105" s="16">
        <f t="shared" si="44"/>
        <v>4.8000000000000007</v>
      </c>
      <c r="X105" s="16"/>
      <c r="Y105" s="21"/>
      <c r="AA105">
        <f t="shared" si="45"/>
        <v>0</v>
      </c>
      <c r="AB105">
        <v>5</v>
      </c>
      <c r="AD105">
        <f t="shared" si="46"/>
        <v>0</v>
      </c>
      <c r="AE105" s="22">
        <v>0.12</v>
      </c>
      <c r="AF105" s="22">
        <f t="shared" si="47"/>
        <v>0.13200000000000001</v>
      </c>
      <c r="AG105" s="22">
        <f t="shared" si="48"/>
        <v>0</v>
      </c>
      <c r="AZ105" s="23"/>
    </row>
    <row r="106" spans="1:52" x14ac:dyDescent="0.3">
      <c r="A106" s="18" t="s">
        <v>3</v>
      </c>
      <c r="B106" s="13" t="s">
        <v>131</v>
      </c>
      <c r="C106" s="13"/>
      <c r="D106" s="13" t="str">
        <f t="shared" si="35"/>
        <v/>
      </c>
      <c r="F106">
        <v>2138</v>
      </c>
      <c r="G106" s="13">
        <f t="shared" si="49"/>
        <v>200</v>
      </c>
      <c r="H106" s="13" t="s">
        <v>143</v>
      </c>
      <c r="J106" s="13">
        <f t="shared" si="50"/>
        <v>2138</v>
      </c>
      <c r="K106" s="13">
        <f t="shared" si="39"/>
        <v>200</v>
      </c>
      <c r="L106" s="16">
        <v>3.5</v>
      </c>
      <c r="M106" s="16">
        <v>0.3</v>
      </c>
      <c r="N106" s="16">
        <v>0</v>
      </c>
      <c r="O106" s="16">
        <v>0.3</v>
      </c>
      <c r="P106" s="16">
        <v>0.3</v>
      </c>
      <c r="Q106" s="16">
        <f t="shared" si="40"/>
        <v>4.3999999999999995</v>
      </c>
      <c r="R106" s="16">
        <v>9.6</v>
      </c>
      <c r="S106" s="16">
        <f t="shared" si="41"/>
        <v>10.56</v>
      </c>
      <c r="T106" s="16">
        <v>20.6</v>
      </c>
      <c r="U106" s="16">
        <f t="shared" si="42"/>
        <v>5.2</v>
      </c>
      <c r="V106" s="16">
        <f t="shared" si="43"/>
        <v>3.12</v>
      </c>
      <c r="W106" s="16">
        <f t="shared" si="44"/>
        <v>2.08</v>
      </c>
      <c r="Z106">
        <v>1</v>
      </c>
      <c r="AA106">
        <f t="shared" si="45"/>
        <v>4</v>
      </c>
      <c r="AB106">
        <v>5</v>
      </c>
      <c r="AC106">
        <v>12</v>
      </c>
      <c r="AD106">
        <f t="shared" si="46"/>
        <v>10</v>
      </c>
      <c r="AE106">
        <v>0.2</v>
      </c>
      <c r="AF106">
        <f t="shared" si="47"/>
        <v>0.22000000000000003</v>
      </c>
      <c r="AG106">
        <f t="shared" si="48"/>
        <v>2.6400000000000006</v>
      </c>
    </row>
    <row r="107" spans="1:52" x14ac:dyDescent="0.3">
      <c r="A107" s="18" t="s">
        <v>3</v>
      </c>
      <c r="B107" s="13" t="s">
        <v>313</v>
      </c>
      <c r="C107" s="13"/>
      <c r="D107" s="13" t="str">
        <f t="shared" si="35"/>
        <v/>
      </c>
      <c r="F107" s="13" t="s">
        <v>122</v>
      </c>
      <c r="G107" s="13">
        <f t="shared" si="49"/>
        <v>150</v>
      </c>
      <c r="H107" s="13" t="s">
        <v>123</v>
      </c>
      <c r="I107" s="13" t="s">
        <v>209</v>
      </c>
      <c r="J107" s="13" t="str">
        <f t="shared" si="50"/>
        <v>2039-150</v>
      </c>
      <c r="K107" s="13">
        <f t="shared" si="39"/>
        <v>150</v>
      </c>
      <c r="L107" s="16">
        <v>2.9</v>
      </c>
      <c r="M107" s="16">
        <v>0.3</v>
      </c>
      <c r="N107" s="16">
        <v>0</v>
      </c>
      <c r="O107" s="16">
        <v>0.3</v>
      </c>
      <c r="P107" s="16">
        <v>0.3</v>
      </c>
      <c r="Q107" s="16">
        <f t="shared" si="40"/>
        <v>3.7999999999999994</v>
      </c>
      <c r="R107" s="16">
        <v>6.05</v>
      </c>
      <c r="S107" s="16">
        <f t="shared" si="41"/>
        <v>6.6550000000000002</v>
      </c>
      <c r="T107" s="16">
        <v>9.9499999999999993</v>
      </c>
      <c r="U107" s="16">
        <f t="shared" si="42"/>
        <v>2.2500000000000004</v>
      </c>
      <c r="V107" s="16">
        <f t="shared" si="43"/>
        <v>1.3500000000000003</v>
      </c>
      <c r="W107" s="16">
        <f t="shared" si="44"/>
        <v>0.90000000000000024</v>
      </c>
      <c r="Z107">
        <v>1</v>
      </c>
      <c r="AA107">
        <f t="shared" si="45"/>
        <v>8</v>
      </c>
      <c r="AB107">
        <v>5</v>
      </c>
      <c r="AC107">
        <v>24</v>
      </c>
      <c r="AD107">
        <f t="shared" si="46"/>
        <v>15</v>
      </c>
      <c r="AE107">
        <v>0.15</v>
      </c>
      <c r="AF107">
        <f t="shared" si="47"/>
        <v>0.16500000000000001</v>
      </c>
      <c r="AG107">
        <f t="shared" si="48"/>
        <v>3.96</v>
      </c>
    </row>
    <row r="108" spans="1:52" x14ac:dyDescent="0.3">
      <c r="A108" s="18" t="s">
        <v>3</v>
      </c>
      <c r="B108" s="13" t="s">
        <v>131</v>
      </c>
      <c r="C108" s="13"/>
      <c r="D108" s="13" t="str">
        <f t="shared" si="35"/>
        <v/>
      </c>
      <c r="F108" s="13">
        <v>2188</v>
      </c>
      <c r="G108" s="13">
        <f t="shared" si="49"/>
        <v>300</v>
      </c>
      <c r="H108" s="13" t="s">
        <v>145</v>
      </c>
      <c r="J108" s="13">
        <f t="shared" si="50"/>
        <v>2188</v>
      </c>
      <c r="K108" s="13">
        <f t="shared" si="39"/>
        <v>300</v>
      </c>
      <c r="L108" s="16">
        <v>2.75</v>
      </c>
      <c r="M108" s="16">
        <v>0.3</v>
      </c>
      <c r="N108" s="16">
        <v>0</v>
      </c>
      <c r="O108" s="16">
        <v>0.3</v>
      </c>
      <c r="P108" s="16">
        <v>0.3</v>
      </c>
      <c r="Q108" s="16">
        <f t="shared" si="40"/>
        <v>3.6499999999999995</v>
      </c>
      <c r="S108" s="16">
        <f t="shared" si="41"/>
        <v>0</v>
      </c>
      <c r="U108" s="16">
        <f t="shared" si="42"/>
        <v>-3.6499999999999995</v>
      </c>
      <c r="V108" s="16">
        <f t="shared" si="43"/>
        <v>-2.1899999999999995</v>
      </c>
      <c r="W108" s="16">
        <f t="shared" si="44"/>
        <v>-1.46</v>
      </c>
      <c r="Z108">
        <v>1</v>
      </c>
      <c r="AA108">
        <f t="shared" si="45"/>
        <v>8</v>
      </c>
      <c r="AB108">
        <v>5</v>
      </c>
      <c r="AC108">
        <v>24</v>
      </c>
      <c r="AD108">
        <f t="shared" si="46"/>
        <v>15</v>
      </c>
      <c r="AE108">
        <v>0.3</v>
      </c>
      <c r="AF108">
        <f t="shared" si="47"/>
        <v>0.33</v>
      </c>
      <c r="AG108">
        <f t="shared" si="48"/>
        <v>7.92</v>
      </c>
    </row>
    <row r="109" spans="1:52" x14ac:dyDescent="0.3">
      <c r="A109" s="18" t="s">
        <v>3</v>
      </c>
      <c r="B109" s="13" t="s">
        <v>131</v>
      </c>
      <c r="C109" s="13"/>
      <c r="D109" s="13" t="str">
        <f t="shared" si="35"/>
        <v/>
      </c>
      <c r="F109" s="13">
        <v>2001</v>
      </c>
      <c r="G109" s="13">
        <f t="shared" si="49"/>
        <v>1000</v>
      </c>
      <c r="H109" s="13" t="s">
        <v>146</v>
      </c>
      <c r="J109" s="13">
        <f t="shared" si="50"/>
        <v>2001</v>
      </c>
      <c r="K109" s="13">
        <f t="shared" si="39"/>
        <v>1000</v>
      </c>
      <c r="L109" s="16">
        <v>28</v>
      </c>
      <c r="M109" s="16">
        <v>0.3</v>
      </c>
      <c r="N109" s="16">
        <v>0</v>
      </c>
      <c r="O109" s="16">
        <v>0.3</v>
      </c>
      <c r="P109" s="16">
        <v>0.3</v>
      </c>
      <c r="Q109" s="16">
        <f t="shared" si="40"/>
        <v>28.900000000000002</v>
      </c>
      <c r="R109" s="16">
        <v>28.8</v>
      </c>
      <c r="S109" s="16">
        <f t="shared" si="41"/>
        <v>31.680000000000003</v>
      </c>
      <c r="U109" s="16">
        <f t="shared" si="42"/>
        <v>-0.10000000000000142</v>
      </c>
      <c r="V109" s="16">
        <f t="shared" si="43"/>
        <v>-6.0000000000000851E-2</v>
      </c>
      <c r="W109" s="16">
        <f t="shared" si="44"/>
        <v>-4.000000000000057E-2</v>
      </c>
      <c r="Z109">
        <v>1</v>
      </c>
      <c r="AA109">
        <f t="shared" si="45"/>
        <v>0</v>
      </c>
      <c r="AB109">
        <v>5</v>
      </c>
      <c r="AC109">
        <v>1</v>
      </c>
      <c r="AD109">
        <f t="shared" si="46"/>
        <v>0</v>
      </c>
      <c r="AE109">
        <v>1</v>
      </c>
      <c r="AF109">
        <f t="shared" si="47"/>
        <v>1.1000000000000001</v>
      </c>
      <c r="AG109">
        <f t="shared" si="48"/>
        <v>1.1000000000000001</v>
      </c>
    </row>
    <row r="110" spans="1:52" x14ac:dyDescent="0.3">
      <c r="A110" s="18" t="s">
        <v>3</v>
      </c>
      <c r="B110" s="13" t="s">
        <v>131</v>
      </c>
      <c r="C110" s="13"/>
      <c r="D110" s="13" t="str">
        <f t="shared" si="35"/>
        <v/>
      </c>
      <c r="F110" s="13" t="s">
        <v>147</v>
      </c>
      <c r="G110" s="13">
        <f t="shared" si="49"/>
        <v>100</v>
      </c>
      <c r="H110" s="13" t="s">
        <v>148</v>
      </c>
      <c r="I110" t="s">
        <v>334</v>
      </c>
      <c r="J110" s="13" t="str">
        <f t="shared" si="50"/>
        <v>20648-08</v>
      </c>
      <c r="K110" s="13" t="s">
        <v>246</v>
      </c>
      <c r="L110" s="16">
        <v>0.95</v>
      </c>
      <c r="M110" s="16">
        <v>0.3</v>
      </c>
      <c r="N110" s="16">
        <v>0</v>
      </c>
      <c r="O110" s="16">
        <v>0.3</v>
      </c>
      <c r="P110" s="16">
        <v>0.3</v>
      </c>
      <c r="Q110" s="16">
        <f t="shared" si="40"/>
        <v>1.85</v>
      </c>
      <c r="R110" s="16">
        <v>0.9</v>
      </c>
      <c r="S110" s="16">
        <f t="shared" si="41"/>
        <v>0.9900000000000001</v>
      </c>
      <c r="U110" s="16">
        <f t="shared" si="42"/>
        <v>-0.95000000000000007</v>
      </c>
      <c r="V110" s="16">
        <f t="shared" si="43"/>
        <v>-0.57000000000000006</v>
      </c>
      <c r="W110" s="16">
        <f t="shared" si="44"/>
        <v>-0.38000000000000006</v>
      </c>
      <c r="Z110">
        <v>1</v>
      </c>
      <c r="AA110">
        <f t="shared" si="45"/>
        <v>0</v>
      </c>
      <c r="AB110">
        <v>5</v>
      </c>
      <c r="AC110">
        <v>1</v>
      </c>
      <c r="AD110">
        <f t="shared" si="46"/>
        <v>0</v>
      </c>
      <c r="AE110">
        <v>0.1</v>
      </c>
      <c r="AF110">
        <f t="shared" si="47"/>
        <v>0.11000000000000001</v>
      </c>
      <c r="AG110">
        <f t="shared" si="48"/>
        <v>0.11000000000000001</v>
      </c>
    </row>
    <row r="111" spans="1:52" x14ac:dyDescent="0.3">
      <c r="A111" s="18" t="s">
        <v>3</v>
      </c>
      <c r="B111" s="13" t="s">
        <v>131</v>
      </c>
      <c r="C111" s="13"/>
      <c r="D111" s="13" t="str">
        <f t="shared" si="35"/>
        <v/>
      </c>
      <c r="F111" s="13" t="s">
        <v>149</v>
      </c>
      <c r="G111" s="13">
        <f t="shared" si="49"/>
        <v>100</v>
      </c>
      <c r="H111" s="13" t="s">
        <v>151</v>
      </c>
      <c r="I111" t="s">
        <v>335</v>
      </c>
      <c r="J111" s="13" t="str">
        <f t="shared" si="50"/>
        <v>20648-09</v>
      </c>
      <c r="K111" s="13" t="s">
        <v>246</v>
      </c>
      <c r="L111" s="16">
        <v>0.95</v>
      </c>
      <c r="M111" s="16">
        <v>0.3</v>
      </c>
      <c r="N111" s="16">
        <v>0</v>
      </c>
      <c r="O111" s="16">
        <v>0.3</v>
      </c>
      <c r="P111" s="16">
        <v>0.3</v>
      </c>
      <c r="Q111" s="16">
        <f t="shared" si="40"/>
        <v>1.85</v>
      </c>
      <c r="R111" s="16">
        <v>0.9</v>
      </c>
      <c r="S111" s="16">
        <f t="shared" si="41"/>
        <v>0.9900000000000001</v>
      </c>
      <c r="U111" s="16">
        <f t="shared" si="42"/>
        <v>-0.95000000000000007</v>
      </c>
      <c r="V111" s="16">
        <f t="shared" si="43"/>
        <v>-0.57000000000000006</v>
      </c>
      <c r="W111" s="16">
        <f t="shared" si="44"/>
        <v>-0.38000000000000006</v>
      </c>
      <c r="Z111">
        <v>1</v>
      </c>
      <c r="AA111">
        <f t="shared" si="45"/>
        <v>0</v>
      </c>
      <c r="AB111">
        <v>5</v>
      </c>
      <c r="AC111">
        <v>1</v>
      </c>
      <c r="AD111">
        <f t="shared" si="46"/>
        <v>0</v>
      </c>
      <c r="AE111">
        <v>0.1</v>
      </c>
      <c r="AF111">
        <f t="shared" si="47"/>
        <v>0.11000000000000001</v>
      </c>
      <c r="AG111">
        <f t="shared" si="48"/>
        <v>0.11000000000000001</v>
      </c>
    </row>
    <row r="112" spans="1:52" s="22" customFormat="1" x14ac:dyDescent="0.3">
      <c r="A112" s="18" t="s">
        <v>3</v>
      </c>
      <c r="B112" s="13" t="s">
        <v>131</v>
      </c>
      <c r="C112" s="13"/>
      <c r="D112" s="13" t="str">
        <f t="shared" si="35"/>
        <v/>
      </c>
      <c r="E112"/>
      <c r="F112" s="13" t="s">
        <v>150</v>
      </c>
      <c r="G112" s="13">
        <f t="shared" si="49"/>
        <v>100</v>
      </c>
      <c r="H112" s="13" t="s">
        <v>152</v>
      </c>
      <c r="I112" t="s">
        <v>336</v>
      </c>
      <c r="J112" s="13" t="str">
        <f t="shared" si="50"/>
        <v>20648-10</v>
      </c>
      <c r="K112" s="13" t="s">
        <v>246</v>
      </c>
      <c r="L112" s="16">
        <v>0.95</v>
      </c>
      <c r="M112" s="16">
        <v>0.3</v>
      </c>
      <c r="N112" s="16">
        <v>0</v>
      </c>
      <c r="O112" s="16">
        <v>0.3</v>
      </c>
      <c r="P112" s="16">
        <v>0.3</v>
      </c>
      <c r="Q112" s="16">
        <f t="shared" si="40"/>
        <v>1.85</v>
      </c>
      <c r="R112" s="16">
        <v>0.9</v>
      </c>
      <c r="S112" s="16">
        <f t="shared" si="41"/>
        <v>0.9900000000000001</v>
      </c>
      <c r="T112" s="16"/>
      <c r="U112" s="16">
        <f t="shared" si="42"/>
        <v>-0.95000000000000007</v>
      </c>
      <c r="V112" s="16">
        <f t="shared" si="43"/>
        <v>-0.57000000000000006</v>
      </c>
      <c r="W112" s="16">
        <f t="shared" si="44"/>
        <v>-0.38000000000000006</v>
      </c>
      <c r="X112" s="16"/>
      <c r="Y112" s="17"/>
      <c r="Z112">
        <v>1</v>
      </c>
      <c r="AA112">
        <f t="shared" si="45"/>
        <v>0</v>
      </c>
      <c r="AB112">
        <v>5</v>
      </c>
      <c r="AC112">
        <v>1</v>
      </c>
      <c r="AD112">
        <f t="shared" si="46"/>
        <v>0</v>
      </c>
      <c r="AE112">
        <v>0.1</v>
      </c>
      <c r="AF112">
        <f t="shared" si="47"/>
        <v>0.11000000000000001</v>
      </c>
      <c r="AG112">
        <f t="shared" si="48"/>
        <v>0.11000000000000001</v>
      </c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 s="12"/>
    </row>
    <row r="113" spans="1:52" x14ac:dyDescent="0.3">
      <c r="A113" s="18" t="s">
        <v>3</v>
      </c>
      <c r="B113" s="13" t="s">
        <v>131</v>
      </c>
      <c r="C113" s="13"/>
      <c r="D113" s="13" t="str">
        <f t="shared" si="35"/>
        <v/>
      </c>
      <c r="F113">
        <v>2555</v>
      </c>
      <c r="G113" s="13">
        <f t="shared" si="49"/>
        <v>75</v>
      </c>
      <c r="H113" s="13" t="s">
        <v>84</v>
      </c>
      <c r="J113" s="13">
        <f t="shared" si="50"/>
        <v>2555</v>
      </c>
      <c r="K113" s="13">
        <f t="shared" ref="K113:K137" si="51">G113</f>
        <v>75</v>
      </c>
      <c r="L113" s="16">
        <v>2.5</v>
      </c>
      <c r="M113" s="16">
        <v>0.3</v>
      </c>
      <c r="N113" s="16">
        <v>0</v>
      </c>
      <c r="O113" s="16">
        <v>0.3</v>
      </c>
      <c r="P113" s="16">
        <v>0.3</v>
      </c>
      <c r="Q113" s="16">
        <f t="shared" si="40"/>
        <v>3.3999999999999995</v>
      </c>
      <c r="S113" s="16">
        <f t="shared" si="41"/>
        <v>0</v>
      </c>
      <c r="U113" s="16">
        <f t="shared" si="42"/>
        <v>-3.3999999999999995</v>
      </c>
      <c r="V113" s="16">
        <f t="shared" si="43"/>
        <v>-2.0399999999999996</v>
      </c>
      <c r="W113" s="16">
        <f t="shared" si="44"/>
        <v>-1.3599999999999999</v>
      </c>
      <c r="Z113">
        <v>1</v>
      </c>
      <c r="AA113">
        <f t="shared" si="45"/>
        <v>0</v>
      </c>
      <c r="AB113">
        <v>5</v>
      </c>
      <c r="AC113">
        <v>1</v>
      </c>
      <c r="AD113">
        <f t="shared" si="46"/>
        <v>0</v>
      </c>
      <c r="AE113">
        <v>7.4999999999999997E-2</v>
      </c>
      <c r="AF113">
        <f t="shared" si="47"/>
        <v>8.2500000000000004E-2</v>
      </c>
      <c r="AG113">
        <f t="shared" si="48"/>
        <v>8.2500000000000004E-2</v>
      </c>
    </row>
    <row r="114" spans="1:52" s="22" customFormat="1" x14ac:dyDescent="0.3">
      <c r="A114" s="18" t="s">
        <v>3</v>
      </c>
      <c r="B114" s="13" t="s">
        <v>131</v>
      </c>
      <c r="C114" s="13"/>
      <c r="D114" s="13" t="str">
        <f t="shared" si="35"/>
        <v/>
      </c>
      <c r="E114"/>
      <c r="F114" t="s">
        <v>85</v>
      </c>
      <c r="G114" s="13">
        <f t="shared" si="49"/>
        <v>50</v>
      </c>
      <c r="H114" s="13" t="s">
        <v>86</v>
      </c>
      <c r="I114"/>
      <c r="J114" s="13" t="str">
        <f t="shared" si="50"/>
        <v>2555-99</v>
      </c>
      <c r="K114" s="13">
        <f t="shared" si="51"/>
        <v>50</v>
      </c>
      <c r="L114" s="16">
        <v>0.35</v>
      </c>
      <c r="M114" s="16">
        <v>0.3</v>
      </c>
      <c r="N114" s="16">
        <v>0</v>
      </c>
      <c r="O114" s="16">
        <v>0.3</v>
      </c>
      <c r="P114" s="16">
        <v>0.3</v>
      </c>
      <c r="Q114" s="16">
        <f t="shared" si="40"/>
        <v>1.25</v>
      </c>
      <c r="R114" s="16"/>
      <c r="S114" s="16">
        <f t="shared" si="41"/>
        <v>0</v>
      </c>
      <c r="T114" s="16"/>
      <c r="U114" s="16">
        <f t="shared" si="42"/>
        <v>-1.25</v>
      </c>
      <c r="V114" s="16">
        <f t="shared" si="43"/>
        <v>-0.75</v>
      </c>
      <c r="W114" s="16">
        <f t="shared" si="44"/>
        <v>-0.5</v>
      </c>
      <c r="X114" s="16"/>
      <c r="Y114" s="17"/>
      <c r="Z114">
        <v>1</v>
      </c>
      <c r="AA114">
        <f t="shared" si="45"/>
        <v>0</v>
      </c>
      <c r="AB114">
        <v>5</v>
      </c>
      <c r="AC114">
        <v>1</v>
      </c>
      <c r="AD114">
        <f t="shared" si="46"/>
        <v>0</v>
      </c>
      <c r="AE114">
        <v>0.05</v>
      </c>
      <c r="AF114">
        <f t="shared" si="47"/>
        <v>5.5000000000000007E-2</v>
      </c>
      <c r="AG114">
        <f t="shared" si="48"/>
        <v>5.5000000000000007E-2</v>
      </c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 s="12"/>
    </row>
    <row r="115" spans="1:52" x14ac:dyDescent="0.3">
      <c r="A115" s="18" t="s">
        <v>3</v>
      </c>
      <c r="B115" s="13" t="s">
        <v>131</v>
      </c>
      <c r="C115" s="13"/>
      <c r="D115" s="13" t="str">
        <f t="shared" si="35"/>
        <v/>
      </c>
      <c r="F115">
        <v>2155</v>
      </c>
      <c r="G115" s="13">
        <f t="shared" si="49"/>
        <v>100</v>
      </c>
      <c r="H115" s="13" t="s">
        <v>156</v>
      </c>
      <c r="J115" s="13">
        <f t="shared" si="50"/>
        <v>2155</v>
      </c>
      <c r="K115" s="13">
        <f t="shared" si="51"/>
        <v>100</v>
      </c>
      <c r="L115" s="16">
        <v>3.25</v>
      </c>
      <c r="M115" s="16">
        <v>0.3</v>
      </c>
      <c r="N115" s="16">
        <v>0</v>
      </c>
      <c r="O115" s="16">
        <v>0.3</v>
      </c>
      <c r="P115" s="16">
        <v>0.3</v>
      </c>
      <c r="Q115" s="16">
        <f t="shared" si="40"/>
        <v>4.1499999999999995</v>
      </c>
      <c r="S115" s="16">
        <f t="shared" si="41"/>
        <v>0</v>
      </c>
      <c r="U115" s="16">
        <f t="shared" si="42"/>
        <v>-4.1499999999999995</v>
      </c>
      <c r="V115" s="16">
        <f t="shared" si="43"/>
        <v>-2.4899999999999998</v>
      </c>
      <c r="W115" s="16">
        <f t="shared" si="44"/>
        <v>-1.66</v>
      </c>
      <c r="Z115">
        <v>1</v>
      </c>
      <c r="AA115">
        <f t="shared" si="45"/>
        <v>16</v>
      </c>
      <c r="AB115">
        <v>5</v>
      </c>
      <c r="AC115">
        <v>50</v>
      </c>
      <c r="AD115">
        <f t="shared" si="46"/>
        <v>0</v>
      </c>
      <c r="AE115">
        <v>0.1</v>
      </c>
      <c r="AF115">
        <f t="shared" si="47"/>
        <v>0.11000000000000001</v>
      </c>
      <c r="AG115">
        <f t="shared" si="48"/>
        <v>5.5000000000000009</v>
      </c>
    </row>
    <row r="116" spans="1:52" x14ac:dyDescent="0.3">
      <c r="A116" s="18" t="s">
        <v>3</v>
      </c>
      <c r="B116" s="13" t="s">
        <v>131</v>
      </c>
      <c r="C116" s="13"/>
      <c r="D116" s="13" t="str">
        <f t="shared" si="35"/>
        <v/>
      </c>
      <c r="E116" s="13">
        <v>1</v>
      </c>
      <c r="F116" s="13">
        <v>2027</v>
      </c>
      <c r="G116" s="13">
        <f t="shared" si="49"/>
        <v>100</v>
      </c>
      <c r="H116" s="13" t="s">
        <v>46</v>
      </c>
      <c r="I116" s="13"/>
      <c r="J116" s="13">
        <f t="shared" si="50"/>
        <v>2027</v>
      </c>
      <c r="K116" s="13">
        <f t="shared" si="51"/>
        <v>100</v>
      </c>
      <c r="L116" s="16">
        <v>3.75</v>
      </c>
      <c r="M116" s="16">
        <v>0.3</v>
      </c>
      <c r="N116" s="16">
        <v>0</v>
      </c>
      <c r="O116" s="16">
        <v>0.3</v>
      </c>
      <c r="P116" s="16">
        <v>0.3</v>
      </c>
      <c r="Q116" s="16">
        <f t="shared" si="40"/>
        <v>4.6499999999999995</v>
      </c>
      <c r="R116" s="16">
        <v>7.8</v>
      </c>
      <c r="S116" s="16">
        <f t="shared" si="41"/>
        <v>8.58</v>
      </c>
      <c r="T116" s="16">
        <v>12.65</v>
      </c>
      <c r="U116" s="16">
        <f t="shared" si="42"/>
        <v>3.1500000000000004</v>
      </c>
      <c r="V116" s="16">
        <f t="shared" si="43"/>
        <v>1.8900000000000001</v>
      </c>
      <c r="W116" s="16">
        <f t="shared" si="44"/>
        <v>1.2600000000000002</v>
      </c>
      <c r="Z116">
        <v>1</v>
      </c>
      <c r="AA116">
        <f t="shared" si="45"/>
        <v>8</v>
      </c>
      <c r="AB116">
        <v>5</v>
      </c>
      <c r="AC116">
        <v>24</v>
      </c>
      <c r="AD116">
        <f t="shared" si="46"/>
        <v>15</v>
      </c>
      <c r="AE116">
        <v>0.1</v>
      </c>
      <c r="AF116">
        <f t="shared" si="47"/>
        <v>0.11000000000000001</v>
      </c>
      <c r="AG116">
        <f t="shared" si="48"/>
        <v>2.6400000000000006</v>
      </c>
    </row>
    <row r="117" spans="1:52" x14ac:dyDescent="0.3">
      <c r="A117" s="18" t="s">
        <v>3</v>
      </c>
      <c r="B117" s="13" t="s">
        <v>313</v>
      </c>
      <c r="C117" s="13"/>
      <c r="D117" s="13" t="str">
        <f t="shared" si="35"/>
        <v/>
      </c>
      <c r="F117" s="13" t="s">
        <v>95</v>
      </c>
      <c r="G117" s="13">
        <f t="shared" si="49"/>
        <v>500</v>
      </c>
      <c r="H117" s="13" t="s">
        <v>94</v>
      </c>
      <c r="I117" s="13" t="s">
        <v>302</v>
      </c>
      <c r="J117" s="13" t="str">
        <f t="shared" si="50"/>
        <v>2040-500</v>
      </c>
      <c r="K117" s="13">
        <f t="shared" si="51"/>
        <v>500</v>
      </c>
      <c r="L117" s="16">
        <v>3.65</v>
      </c>
      <c r="M117" s="16">
        <v>0.3</v>
      </c>
      <c r="N117" s="16">
        <v>0</v>
      </c>
      <c r="O117" s="16">
        <v>0.3</v>
      </c>
      <c r="P117" s="16">
        <v>0.3</v>
      </c>
      <c r="Q117" s="16">
        <f t="shared" si="40"/>
        <v>4.55</v>
      </c>
      <c r="S117" s="16">
        <f t="shared" si="41"/>
        <v>0</v>
      </c>
      <c r="U117" s="16">
        <f t="shared" si="42"/>
        <v>-4.55</v>
      </c>
      <c r="V117" s="16">
        <f t="shared" si="43"/>
        <v>-2.73</v>
      </c>
      <c r="W117" s="16">
        <f t="shared" si="44"/>
        <v>-1.82</v>
      </c>
      <c r="Z117">
        <v>1</v>
      </c>
      <c r="AA117">
        <f t="shared" si="45"/>
        <v>8</v>
      </c>
      <c r="AB117">
        <v>5</v>
      </c>
      <c r="AC117">
        <v>24</v>
      </c>
      <c r="AD117">
        <f t="shared" si="46"/>
        <v>15</v>
      </c>
      <c r="AE117">
        <v>0.5</v>
      </c>
      <c r="AF117">
        <f t="shared" si="47"/>
        <v>0.55000000000000004</v>
      </c>
      <c r="AG117">
        <f t="shared" si="48"/>
        <v>13.200000000000001</v>
      </c>
    </row>
    <row r="118" spans="1:52" x14ac:dyDescent="0.3">
      <c r="A118" s="18" t="s">
        <v>3</v>
      </c>
      <c r="B118" s="13" t="s">
        <v>131</v>
      </c>
      <c r="C118" s="13"/>
      <c r="D118" s="13" t="str">
        <f t="shared" si="35"/>
        <v/>
      </c>
      <c r="F118">
        <v>2044</v>
      </c>
      <c r="G118" s="13">
        <f t="shared" si="49"/>
        <v>400</v>
      </c>
      <c r="H118" s="13" t="s">
        <v>153</v>
      </c>
      <c r="J118" s="13">
        <f t="shared" si="50"/>
        <v>2044</v>
      </c>
      <c r="K118" s="13">
        <f t="shared" si="51"/>
        <v>400</v>
      </c>
      <c r="L118" s="16">
        <v>3.15</v>
      </c>
      <c r="M118" s="16">
        <v>0.3</v>
      </c>
      <c r="N118" s="16">
        <v>0</v>
      </c>
      <c r="O118" s="16">
        <v>0.3</v>
      </c>
      <c r="P118" s="16">
        <v>0.3</v>
      </c>
      <c r="Q118" s="16">
        <f t="shared" si="40"/>
        <v>4.05</v>
      </c>
      <c r="S118" s="16">
        <f t="shared" si="41"/>
        <v>0</v>
      </c>
      <c r="U118" s="16">
        <f t="shared" si="42"/>
        <v>-4.05</v>
      </c>
      <c r="V118" s="16">
        <f t="shared" si="43"/>
        <v>-2.4299999999999997</v>
      </c>
      <c r="W118" s="16">
        <f t="shared" si="44"/>
        <v>-1.62</v>
      </c>
      <c r="Z118">
        <v>1</v>
      </c>
      <c r="AA118">
        <f t="shared" si="45"/>
        <v>8</v>
      </c>
      <c r="AB118">
        <v>5</v>
      </c>
      <c r="AC118">
        <v>24</v>
      </c>
      <c r="AD118">
        <f t="shared" si="46"/>
        <v>15</v>
      </c>
      <c r="AE118">
        <v>0.4</v>
      </c>
      <c r="AF118">
        <f t="shared" si="47"/>
        <v>0.44000000000000006</v>
      </c>
      <c r="AG118">
        <f t="shared" si="48"/>
        <v>10.560000000000002</v>
      </c>
    </row>
    <row r="119" spans="1:52" x14ac:dyDescent="0.3">
      <c r="A119" s="18" t="s">
        <v>3</v>
      </c>
      <c r="B119" s="13" t="s">
        <v>313</v>
      </c>
      <c r="C119" s="13"/>
      <c r="D119" s="13" t="str">
        <f t="shared" si="35"/>
        <v/>
      </c>
      <c r="F119">
        <v>2051</v>
      </c>
      <c r="G119" s="13">
        <f t="shared" si="49"/>
        <v>400</v>
      </c>
      <c r="H119" s="13" t="s">
        <v>97</v>
      </c>
      <c r="I119" s="13" t="s">
        <v>223</v>
      </c>
      <c r="J119" s="13">
        <f t="shared" si="50"/>
        <v>2051</v>
      </c>
      <c r="K119" s="13">
        <f t="shared" si="51"/>
        <v>400</v>
      </c>
      <c r="L119" s="16">
        <v>3</v>
      </c>
      <c r="M119" s="16">
        <v>0.3</v>
      </c>
      <c r="N119" s="16">
        <v>0</v>
      </c>
      <c r="O119" s="16">
        <v>0.3</v>
      </c>
      <c r="P119" s="16">
        <v>0.3</v>
      </c>
      <c r="Q119" s="16">
        <f t="shared" si="40"/>
        <v>3.8999999999999995</v>
      </c>
      <c r="R119" s="16">
        <v>5.7</v>
      </c>
      <c r="S119" s="16">
        <f t="shared" si="41"/>
        <v>6.2700000000000005</v>
      </c>
      <c r="U119" s="16">
        <f t="shared" si="42"/>
        <v>1.8000000000000007</v>
      </c>
      <c r="V119" s="16">
        <f t="shared" si="43"/>
        <v>1.0800000000000003</v>
      </c>
      <c r="W119" s="16">
        <f t="shared" si="44"/>
        <v>0.72000000000000031</v>
      </c>
      <c r="Z119">
        <v>1</v>
      </c>
      <c r="AA119">
        <f t="shared" si="45"/>
        <v>8</v>
      </c>
      <c r="AB119">
        <v>5</v>
      </c>
      <c r="AC119">
        <v>24</v>
      </c>
      <c r="AD119">
        <f t="shared" si="46"/>
        <v>15</v>
      </c>
      <c r="AE119">
        <v>0.4</v>
      </c>
      <c r="AF119">
        <f t="shared" si="47"/>
        <v>0.44000000000000006</v>
      </c>
      <c r="AG119">
        <f t="shared" si="48"/>
        <v>10.560000000000002</v>
      </c>
    </row>
    <row r="120" spans="1:52" x14ac:dyDescent="0.3">
      <c r="A120" s="18" t="s">
        <v>3</v>
      </c>
      <c r="B120" s="13" t="s">
        <v>131</v>
      </c>
      <c r="C120" s="13"/>
      <c r="D120" s="13" t="str">
        <f t="shared" si="35"/>
        <v/>
      </c>
      <c r="F120">
        <v>2058</v>
      </c>
      <c r="G120" s="13">
        <f t="shared" si="49"/>
        <v>8</v>
      </c>
      <c r="H120" s="13" t="s">
        <v>154</v>
      </c>
      <c r="J120" s="13">
        <f t="shared" si="50"/>
        <v>2058</v>
      </c>
      <c r="K120" s="13">
        <f t="shared" si="51"/>
        <v>8</v>
      </c>
      <c r="L120" s="16">
        <v>1.5</v>
      </c>
      <c r="M120" s="16">
        <v>0.3</v>
      </c>
      <c r="N120" s="16">
        <v>0</v>
      </c>
      <c r="O120" s="16">
        <v>0.3</v>
      </c>
      <c r="P120" s="16">
        <v>0.3</v>
      </c>
      <c r="Q120" s="16">
        <f t="shared" si="40"/>
        <v>2.4</v>
      </c>
      <c r="R120" s="16">
        <v>2.1</v>
      </c>
      <c r="S120" s="16">
        <f t="shared" si="41"/>
        <v>2.3100000000000005</v>
      </c>
      <c r="U120" s="16">
        <f t="shared" si="42"/>
        <v>-0.29999999999999982</v>
      </c>
      <c r="V120" s="16">
        <f t="shared" si="43"/>
        <v>-0.17999999999999988</v>
      </c>
      <c r="W120" s="16">
        <f t="shared" si="44"/>
        <v>-0.11999999999999994</v>
      </c>
      <c r="Z120">
        <v>1</v>
      </c>
      <c r="AA120">
        <f t="shared" si="45"/>
        <v>33</v>
      </c>
      <c r="AB120">
        <v>5</v>
      </c>
      <c r="AC120">
        <v>100</v>
      </c>
      <c r="AD120">
        <f t="shared" si="46"/>
        <v>0</v>
      </c>
      <c r="AE120">
        <v>8.0000000000000002E-3</v>
      </c>
      <c r="AF120">
        <f t="shared" si="47"/>
        <v>8.8000000000000005E-3</v>
      </c>
      <c r="AG120">
        <f t="shared" si="48"/>
        <v>0.88</v>
      </c>
    </row>
    <row r="121" spans="1:52" x14ac:dyDescent="0.3">
      <c r="A121" s="18" t="s">
        <v>3</v>
      </c>
      <c r="B121" s="13" t="s">
        <v>131</v>
      </c>
      <c r="C121" s="13"/>
      <c r="D121" s="13" t="str">
        <f t="shared" si="35"/>
        <v/>
      </c>
      <c r="F121">
        <v>2455001</v>
      </c>
      <c r="G121" s="13">
        <f t="shared" si="49"/>
        <v>10</v>
      </c>
      <c r="H121" s="13" t="s">
        <v>155</v>
      </c>
      <c r="J121" s="13">
        <f t="shared" si="50"/>
        <v>2455001</v>
      </c>
      <c r="K121" s="13">
        <f t="shared" si="51"/>
        <v>10</v>
      </c>
      <c r="L121" s="16">
        <v>1.35</v>
      </c>
      <c r="M121" s="16">
        <v>0.3</v>
      </c>
      <c r="N121" s="16">
        <v>0</v>
      </c>
      <c r="O121" s="16">
        <v>0.3</v>
      </c>
      <c r="P121" s="16">
        <v>0.3</v>
      </c>
      <c r="Q121" s="16">
        <f t="shared" si="40"/>
        <v>2.25</v>
      </c>
      <c r="S121" s="16">
        <f t="shared" si="41"/>
        <v>0</v>
      </c>
      <c r="U121" s="16">
        <f t="shared" si="42"/>
        <v>-2.25</v>
      </c>
      <c r="V121" s="16">
        <f t="shared" si="43"/>
        <v>-1.3499999999999999</v>
      </c>
      <c r="W121" s="16">
        <f t="shared" si="44"/>
        <v>-0.9</v>
      </c>
      <c r="Z121">
        <v>1</v>
      </c>
      <c r="AA121">
        <f t="shared" si="45"/>
        <v>0</v>
      </c>
      <c r="AB121">
        <v>5</v>
      </c>
      <c r="AC121">
        <v>1</v>
      </c>
      <c r="AD121">
        <f t="shared" si="46"/>
        <v>0</v>
      </c>
      <c r="AE121">
        <v>0.01</v>
      </c>
      <c r="AF121">
        <f t="shared" si="47"/>
        <v>1.1000000000000001E-2</v>
      </c>
      <c r="AG121">
        <f t="shared" si="48"/>
        <v>1.1000000000000001E-2</v>
      </c>
    </row>
    <row r="122" spans="1:52" x14ac:dyDescent="0.3">
      <c r="A122" s="18" t="s">
        <v>3</v>
      </c>
      <c r="B122" s="13" t="s">
        <v>313</v>
      </c>
      <c r="C122" s="13"/>
      <c r="D122" s="13" t="str">
        <f t="shared" si="35"/>
        <v/>
      </c>
      <c r="F122">
        <v>2077</v>
      </c>
      <c r="G122" s="13">
        <f t="shared" si="49"/>
        <v>310</v>
      </c>
      <c r="H122" s="13" t="s">
        <v>129</v>
      </c>
      <c r="I122" s="13" t="s">
        <v>304</v>
      </c>
      <c r="J122" s="13">
        <f t="shared" si="50"/>
        <v>2077</v>
      </c>
      <c r="K122" s="13">
        <f t="shared" si="51"/>
        <v>310</v>
      </c>
      <c r="L122" s="16">
        <v>4.95</v>
      </c>
      <c r="M122" s="16">
        <v>0.3</v>
      </c>
      <c r="N122" s="16">
        <v>0</v>
      </c>
      <c r="O122" s="16">
        <v>0.3</v>
      </c>
      <c r="P122" s="16">
        <v>0.3</v>
      </c>
      <c r="Q122" s="16">
        <f t="shared" si="40"/>
        <v>5.85</v>
      </c>
      <c r="R122" s="16">
        <v>11.3</v>
      </c>
      <c r="S122" s="16">
        <f t="shared" si="41"/>
        <v>12.430000000000001</v>
      </c>
      <c r="T122" s="16">
        <v>21.95</v>
      </c>
      <c r="U122" s="16">
        <f t="shared" si="42"/>
        <v>5.4500000000000011</v>
      </c>
      <c r="V122" s="16">
        <f t="shared" si="43"/>
        <v>3.2700000000000005</v>
      </c>
      <c r="W122" s="16">
        <f t="shared" si="44"/>
        <v>2.1800000000000006</v>
      </c>
      <c r="Z122">
        <v>1</v>
      </c>
      <c r="AA122">
        <f t="shared" si="45"/>
        <v>4</v>
      </c>
      <c r="AB122">
        <v>5</v>
      </c>
      <c r="AC122">
        <v>12</v>
      </c>
      <c r="AD122">
        <f t="shared" si="46"/>
        <v>10</v>
      </c>
      <c r="AE122">
        <v>0.31</v>
      </c>
      <c r="AF122">
        <f t="shared" si="47"/>
        <v>0.34100000000000003</v>
      </c>
      <c r="AG122">
        <f t="shared" si="48"/>
        <v>4.0920000000000005</v>
      </c>
    </row>
    <row r="123" spans="1:52" x14ac:dyDescent="0.3">
      <c r="A123" s="18" t="s">
        <v>3</v>
      </c>
      <c r="B123" s="13" t="s">
        <v>313</v>
      </c>
      <c r="C123" s="13"/>
      <c r="D123" s="13" t="str">
        <f t="shared" si="35"/>
        <v/>
      </c>
      <c r="F123">
        <v>2078</v>
      </c>
      <c r="G123" s="13">
        <f t="shared" si="49"/>
        <v>400</v>
      </c>
      <c r="H123" s="13" t="s">
        <v>129</v>
      </c>
      <c r="I123" s="13" t="s">
        <v>305</v>
      </c>
      <c r="J123" s="13">
        <f t="shared" si="50"/>
        <v>2078</v>
      </c>
      <c r="K123" s="13">
        <f t="shared" si="51"/>
        <v>400</v>
      </c>
      <c r="L123" s="16">
        <v>7.7</v>
      </c>
      <c r="M123" s="16">
        <v>0.3</v>
      </c>
      <c r="N123" s="16">
        <v>0</v>
      </c>
      <c r="O123" s="16">
        <v>0.3</v>
      </c>
      <c r="P123" s="16">
        <v>0.3</v>
      </c>
      <c r="Q123" s="16">
        <f t="shared" si="40"/>
        <v>8.6000000000000014</v>
      </c>
      <c r="R123" s="16">
        <v>13.05</v>
      </c>
      <c r="S123" s="16">
        <f t="shared" si="41"/>
        <v>14.355000000000002</v>
      </c>
      <c r="T123" s="16">
        <v>23.1</v>
      </c>
      <c r="U123" s="16">
        <f t="shared" si="42"/>
        <v>4.4499999999999993</v>
      </c>
      <c r="V123" s="16">
        <f t="shared" si="43"/>
        <v>2.6699999999999995</v>
      </c>
      <c r="W123" s="16">
        <f t="shared" si="44"/>
        <v>1.7799999999999998</v>
      </c>
      <c r="Z123">
        <v>1</v>
      </c>
      <c r="AA123">
        <f t="shared" si="45"/>
        <v>4</v>
      </c>
      <c r="AB123">
        <v>5</v>
      </c>
      <c r="AC123">
        <v>12</v>
      </c>
      <c r="AD123">
        <f t="shared" si="46"/>
        <v>10</v>
      </c>
      <c r="AE123">
        <v>0.4</v>
      </c>
      <c r="AF123">
        <f t="shared" si="47"/>
        <v>0.44000000000000006</v>
      </c>
      <c r="AG123">
        <f t="shared" si="48"/>
        <v>5.2800000000000011</v>
      </c>
    </row>
    <row r="124" spans="1:52" x14ac:dyDescent="0.3">
      <c r="A124" s="18" t="s">
        <v>3</v>
      </c>
      <c r="B124" s="13" t="s">
        <v>313</v>
      </c>
      <c r="C124" s="13"/>
      <c r="D124" s="13" t="str">
        <f t="shared" si="35"/>
        <v/>
      </c>
      <c r="F124">
        <v>2177</v>
      </c>
      <c r="G124" s="13">
        <f t="shared" si="49"/>
        <v>310</v>
      </c>
      <c r="H124" s="13" t="s">
        <v>130</v>
      </c>
      <c r="I124" s="13" t="s">
        <v>306</v>
      </c>
      <c r="J124" s="13">
        <f t="shared" si="50"/>
        <v>2177</v>
      </c>
      <c r="K124" s="13">
        <f t="shared" si="51"/>
        <v>310</v>
      </c>
      <c r="L124" s="16">
        <v>12.5</v>
      </c>
      <c r="M124" s="16">
        <v>0.3</v>
      </c>
      <c r="N124" s="16">
        <v>0</v>
      </c>
      <c r="O124" s="16">
        <v>0.3</v>
      </c>
      <c r="P124" s="16">
        <v>0.3</v>
      </c>
      <c r="Q124" s="16">
        <f t="shared" si="40"/>
        <v>13.400000000000002</v>
      </c>
      <c r="R124" s="16">
        <v>19.649999999999999</v>
      </c>
      <c r="S124" s="16">
        <f t="shared" si="41"/>
        <v>21.614999999999998</v>
      </c>
      <c r="T124" s="16">
        <v>32.6</v>
      </c>
      <c r="U124" s="16">
        <f t="shared" si="42"/>
        <v>6.2499999999999964</v>
      </c>
      <c r="V124" s="16">
        <f t="shared" si="43"/>
        <v>3.7499999999999978</v>
      </c>
      <c r="W124" s="16">
        <f t="shared" si="44"/>
        <v>2.4999999999999987</v>
      </c>
      <c r="Z124">
        <v>1</v>
      </c>
      <c r="AA124">
        <f t="shared" si="45"/>
        <v>4</v>
      </c>
      <c r="AB124">
        <v>5</v>
      </c>
      <c r="AC124">
        <v>12</v>
      </c>
      <c r="AD124">
        <f t="shared" si="46"/>
        <v>10</v>
      </c>
      <c r="AE124">
        <v>0.31</v>
      </c>
      <c r="AF124">
        <f t="shared" si="47"/>
        <v>0.34100000000000003</v>
      </c>
      <c r="AG124">
        <f t="shared" si="48"/>
        <v>4.0920000000000005</v>
      </c>
    </row>
    <row r="125" spans="1:52" x14ac:dyDescent="0.3">
      <c r="A125" s="18" t="s">
        <v>3</v>
      </c>
      <c r="B125" s="13" t="s">
        <v>313</v>
      </c>
      <c r="C125" s="13"/>
      <c r="D125" s="13" t="str">
        <f t="shared" si="35"/>
        <v/>
      </c>
      <c r="F125">
        <v>2178</v>
      </c>
      <c r="G125" s="13">
        <f t="shared" si="49"/>
        <v>400</v>
      </c>
      <c r="H125" s="13" t="s">
        <v>130</v>
      </c>
      <c r="I125" s="13" t="s">
        <v>307</v>
      </c>
      <c r="J125" s="13">
        <f t="shared" si="50"/>
        <v>2178</v>
      </c>
      <c r="K125" s="13">
        <f t="shared" si="51"/>
        <v>400</v>
      </c>
      <c r="L125" s="16">
        <v>15.2</v>
      </c>
      <c r="M125" s="16">
        <v>0.3</v>
      </c>
      <c r="N125" s="16">
        <v>0</v>
      </c>
      <c r="O125" s="16">
        <v>0.3</v>
      </c>
      <c r="P125" s="16">
        <v>0.3</v>
      </c>
      <c r="Q125" s="16">
        <f t="shared" si="40"/>
        <v>16.100000000000001</v>
      </c>
      <c r="R125" s="16">
        <v>20.55</v>
      </c>
      <c r="S125" s="16">
        <f t="shared" si="41"/>
        <v>22.605000000000004</v>
      </c>
      <c r="T125" s="16">
        <v>34</v>
      </c>
      <c r="U125" s="16">
        <f t="shared" si="42"/>
        <v>4.4499999999999993</v>
      </c>
      <c r="V125" s="16">
        <f t="shared" si="43"/>
        <v>2.6699999999999995</v>
      </c>
      <c r="W125" s="16">
        <f t="shared" si="44"/>
        <v>1.7799999999999998</v>
      </c>
      <c r="Z125">
        <v>1</v>
      </c>
      <c r="AA125">
        <f t="shared" si="45"/>
        <v>4</v>
      </c>
      <c r="AB125">
        <v>5</v>
      </c>
      <c r="AC125">
        <v>12</v>
      </c>
      <c r="AD125">
        <f t="shared" si="46"/>
        <v>10</v>
      </c>
      <c r="AE125">
        <v>0.4</v>
      </c>
      <c r="AF125">
        <f t="shared" si="47"/>
        <v>0.44000000000000006</v>
      </c>
      <c r="AG125">
        <f t="shared" si="48"/>
        <v>5.2800000000000011</v>
      </c>
    </row>
    <row r="126" spans="1:52" x14ac:dyDescent="0.3">
      <c r="A126" s="18" t="s">
        <v>3</v>
      </c>
      <c r="B126" s="13" t="s">
        <v>313</v>
      </c>
      <c r="C126" s="13"/>
      <c r="D126" s="13" t="str">
        <f t="shared" si="35"/>
        <v/>
      </c>
      <c r="F126">
        <v>21290</v>
      </c>
      <c r="G126" s="13">
        <f t="shared" si="49"/>
        <v>290</v>
      </c>
      <c r="H126" s="13" t="s">
        <v>110</v>
      </c>
      <c r="I126" s="13" t="s">
        <v>314</v>
      </c>
      <c r="J126" s="13">
        <f t="shared" si="50"/>
        <v>21290</v>
      </c>
      <c r="K126" s="13">
        <f t="shared" si="51"/>
        <v>290</v>
      </c>
      <c r="L126" s="16">
        <v>9.9</v>
      </c>
      <c r="M126" s="16">
        <v>0.3</v>
      </c>
      <c r="N126" s="16">
        <v>0</v>
      </c>
      <c r="O126" s="16">
        <v>0.3</v>
      </c>
      <c r="P126" s="16">
        <v>0.3</v>
      </c>
      <c r="Q126" s="16">
        <f t="shared" si="40"/>
        <v>10.800000000000002</v>
      </c>
      <c r="R126" s="16">
        <v>15.6</v>
      </c>
      <c r="S126" s="16">
        <f t="shared" si="41"/>
        <v>17.16</v>
      </c>
      <c r="T126" s="16">
        <v>25.3</v>
      </c>
      <c r="U126" s="16">
        <f t="shared" si="42"/>
        <v>4.7999999999999972</v>
      </c>
      <c r="V126" s="16">
        <f t="shared" si="43"/>
        <v>2.8799999999999981</v>
      </c>
      <c r="W126" s="16">
        <f t="shared" si="44"/>
        <v>1.919999999999999</v>
      </c>
      <c r="Z126">
        <v>1</v>
      </c>
      <c r="AA126">
        <f t="shared" si="45"/>
        <v>4</v>
      </c>
      <c r="AB126">
        <v>5</v>
      </c>
      <c r="AC126">
        <v>12</v>
      </c>
      <c r="AD126">
        <f t="shared" si="46"/>
        <v>10</v>
      </c>
      <c r="AE126">
        <v>0.28999999999999998</v>
      </c>
      <c r="AF126">
        <f t="shared" si="47"/>
        <v>0.31900000000000001</v>
      </c>
      <c r="AG126">
        <f t="shared" si="48"/>
        <v>3.8280000000000003</v>
      </c>
    </row>
    <row r="127" spans="1:52" s="22" customFormat="1" x14ac:dyDescent="0.3">
      <c r="A127" s="18" t="s">
        <v>3</v>
      </c>
      <c r="B127" s="13" t="s">
        <v>313</v>
      </c>
      <c r="C127" s="13"/>
      <c r="D127" s="13" t="str">
        <f t="shared" si="35"/>
        <v/>
      </c>
      <c r="E127"/>
      <c r="F127">
        <v>21400</v>
      </c>
      <c r="G127" s="13">
        <f t="shared" si="49"/>
        <v>400</v>
      </c>
      <c r="H127" s="13" t="s">
        <v>110</v>
      </c>
      <c r="I127" s="13" t="s">
        <v>315</v>
      </c>
      <c r="J127" s="13">
        <f t="shared" si="50"/>
        <v>21400</v>
      </c>
      <c r="K127" s="13">
        <f t="shared" si="51"/>
        <v>400</v>
      </c>
      <c r="L127" s="16">
        <v>12.3</v>
      </c>
      <c r="M127" s="16">
        <v>0.3</v>
      </c>
      <c r="N127" s="16">
        <v>0</v>
      </c>
      <c r="O127" s="16">
        <v>0.3</v>
      </c>
      <c r="P127" s="16">
        <v>0.3</v>
      </c>
      <c r="Q127" s="16">
        <f t="shared" si="40"/>
        <v>13.200000000000003</v>
      </c>
      <c r="R127" s="16">
        <v>17.5</v>
      </c>
      <c r="S127" s="16">
        <f t="shared" si="41"/>
        <v>19.25</v>
      </c>
      <c r="T127" s="16">
        <v>28.45</v>
      </c>
      <c r="U127" s="16">
        <f t="shared" si="42"/>
        <v>4.2999999999999972</v>
      </c>
      <c r="V127" s="16">
        <f t="shared" si="43"/>
        <v>2.5799999999999983</v>
      </c>
      <c r="W127" s="16">
        <f t="shared" si="44"/>
        <v>1.7199999999999989</v>
      </c>
      <c r="X127" s="16"/>
      <c r="Y127" s="17"/>
      <c r="Z127">
        <v>1</v>
      </c>
      <c r="AA127">
        <f t="shared" si="45"/>
        <v>4</v>
      </c>
      <c r="AB127">
        <v>5</v>
      </c>
      <c r="AC127">
        <v>12</v>
      </c>
      <c r="AD127">
        <f t="shared" si="46"/>
        <v>10</v>
      </c>
      <c r="AE127">
        <v>0.4</v>
      </c>
      <c r="AF127">
        <f t="shared" si="47"/>
        <v>0.44000000000000006</v>
      </c>
      <c r="AG127">
        <f t="shared" si="48"/>
        <v>5.2800000000000011</v>
      </c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 s="12"/>
    </row>
    <row r="128" spans="1:52" x14ac:dyDescent="0.3">
      <c r="A128" s="18" t="s">
        <v>3</v>
      </c>
      <c r="B128" s="13" t="s">
        <v>313</v>
      </c>
      <c r="C128" s="13"/>
      <c r="D128" s="13" t="str">
        <f t="shared" si="35"/>
        <v/>
      </c>
      <c r="F128">
        <v>2181</v>
      </c>
      <c r="G128" s="13">
        <f t="shared" si="49"/>
        <v>30</v>
      </c>
      <c r="H128" s="13" t="s">
        <v>113</v>
      </c>
      <c r="I128" s="13" t="s">
        <v>237</v>
      </c>
      <c r="J128" s="13">
        <f t="shared" si="50"/>
        <v>2181</v>
      </c>
      <c r="K128" s="13">
        <f t="shared" si="51"/>
        <v>30</v>
      </c>
      <c r="L128" s="16">
        <v>4.9000000000000004</v>
      </c>
      <c r="M128" s="16">
        <v>0.3</v>
      </c>
      <c r="N128" s="16">
        <v>0</v>
      </c>
      <c r="O128" s="16">
        <v>0.3</v>
      </c>
      <c r="P128" s="16">
        <v>0.3</v>
      </c>
      <c r="Q128" s="16">
        <f t="shared" si="40"/>
        <v>5.8</v>
      </c>
      <c r="R128" s="16">
        <v>5.75</v>
      </c>
      <c r="S128" s="16">
        <f t="shared" si="41"/>
        <v>6.3250000000000002</v>
      </c>
      <c r="T128" s="16">
        <v>9.6</v>
      </c>
      <c r="U128" s="16">
        <f t="shared" si="42"/>
        <v>-4.9999999999999822E-2</v>
      </c>
      <c r="V128" s="16">
        <f t="shared" si="43"/>
        <v>-2.9999999999999891E-2</v>
      </c>
      <c r="W128" s="16">
        <f t="shared" si="44"/>
        <v>-1.9999999999999931E-2</v>
      </c>
      <c r="Z128">
        <v>1</v>
      </c>
      <c r="AA128">
        <f t="shared" si="45"/>
        <v>4</v>
      </c>
      <c r="AB128">
        <v>5</v>
      </c>
      <c r="AC128">
        <v>12</v>
      </c>
      <c r="AD128">
        <f t="shared" si="46"/>
        <v>10</v>
      </c>
      <c r="AE128">
        <v>0.03</v>
      </c>
      <c r="AF128">
        <f t="shared" si="47"/>
        <v>3.3000000000000002E-2</v>
      </c>
      <c r="AG128">
        <f t="shared" si="48"/>
        <v>0.39600000000000002</v>
      </c>
    </row>
    <row r="129" spans="1:37" x14ac:dyDescent="0.3">
      <c r="A129" s="18" t="s">
        <v>3</v>
      </c>
      <c r="B129" s="13" t="s">
        <v>131</v>
      </c>
      <c r="C129" s="13"/>
      <c r="D129" s="13" t="str">
        <f t="shared" si="35"/>
        <v/>
      </c>
      <c r="F129">
        <v>1997</v>
      </c>
      <c r="G129" s="13">
        <f t="shared" si="49"/>
        <v>1000</v>
      </c>
      <c r="H129" s="13" t="s">
        <v>157</v>
      </c>
      <c r="J129" s="13">
        <f t="shared" si="50"/>
        <v>1997</v>
      </c>
      <c r="K129" s="13">
        <f t="shared" si="51"/>
        <v>1000</v>
      </c>
      <c r="L129" s="16">
        <v>23</v>
      </c>
      <c r="M129" s="16">
        <v>0.3</v>
      </c>
      <c r="N129" s="16">
        <v>0</v>
      </c>
      <c r="O129" s="16">
        <v>0.3</v>
      </c>
      <c r="P129" s="16">
        <v>0.3</v>
      </c>
      <c r="Q129" s="16">
        <f t="shared" ref="Q129:Q136" si="52">+L129+M129+N129+O129+P129</f>
        <v>23.900000000000002</v>
      </c>
      <c r="R129" s="16">
        <v>35</v>
      </c>
      <c r="S129" s="16">
        <f t="shared" ref="S129:S136" si="53">R129*1.1</f>
        <v>38.5</v>
      </c>
      <c r="U129" s="16">
        <f t="shared" ref="U129:U137" si="54">R129-Q129</f>
        <v>11.099999999999998</v>
      </c>
      <c r="V129" s="16">
        <f t="shared" ref="V129:V137" si="55">U129*0.6</f>
        <v>6.6599999999999984</v>
      </c>
      <c r="W129" s="16">
        <f t="shared" ref="W129:W137" si="56">U129*0.4</f>
        <v>4.4399999999999995</v>
      </c>
      <c r="Z129">
        <v>1</v>
      </c>
      <c r="AA129">
        <f t="shared" ref="AA129:AA138" si="57">INT(AC129/3)</f>
        <v>0</v>
      </c>
      <c r="AB129">
        <v>5</v>
      </c>
      <c r="AC129">
        <v>1</v>
      </c>
      <c r="AD129">
        <f t="shared" ref="AD129:AD138" si="58">IF(AC129=24,15,IF(AC129=12,10,0))</f>
        <v>0</v>
      </c>
      <c r="AE129">
        <v>1</v>
      </c>
      <c r="AF129">
        <f t="shared" ref="AF129:AF136" si="59">AE129*1.1</f>
        <v>1.1000000000000001</v>
      </c>
      <c r="AG129">
        <f t="shared" ref="AG129:AG136" si="60">AF129*AC129</f>
        <v>1.1000000000000001</v>
      </c>
    </row>
    <row r="130" spans="1:37" x14ac:dyDescent="0.3">
      <c r="A130" s="18" t="s">
        <v>3</v>
      </c>
      <c r="B130" s="13" t="s">
        <v>131</v>
      </c>
      <c r="C130" s="13"/>
      <c r="D130" s="13" t="str">
        <f t="shared" si="35"/>
        <v/>
      </c>
      <c r="F130">
        <v>281000</v>
      </c>
      <c r="G130" s="13">
        <f t="shared" si="49"/>
        <v>2000</v>
      </c>
      <c r="H130" s="13" t="s">
        <v>111</v>
      </c>
      <c r="J130" s="13">
        <f t="shared" si="50"/>
        <v>281000</v>
      </c>
      <c r="K130" s="13">
        <f t="shared" si="51"/>
        <v>2000</v>
      </c>
      <c r="L130" s="16">
        <v>248</v>
      </c>
      <c r="M130" s="16">
        <v>0.3</v>
      </c>
      <c r="N130" s="16">
        <v>0</v>
      </c>
      <c r="O130" s="16">
        <v>0.3</v>
      </c>
      <c r="P130" s="16">
        <v>0.3</v>
      </c>
      <c r="Q130" s="16">
        <f t="shared" si="52"/>
        <v>248.90000000000003</v>
      </c>
      <c r="R130" s="16">
        <v>275</v>
      </c>
      <c r="S130" s="16">
        <f t="shared" si="53"/>
        <v>302.5</v>
      </c>
      <c r="U130" s="16">
        <f t="shared" si="54"/>
        <v>26.099999999999966</v>
      </c>
      <c r="V130" s="16">
        <f t="shared" si="55"/>
        <v>15.659999999999979</v>
      </c>
      <c r="W130" s="16">
        <f t="shared" si="56"/>
        <v>10.439999999999987</v>
      </c>
      <c r="Z130">
        <v>1</v>
      </c>
      <c r="AA130">
        <f t="shared" si="57"/>
        <v>0</v>
      </c>
      <c r="AB130">
        <v>5</v>
      </c>
      <c r="AC130">
        <v>1</v>
      </c>
      <c r="AD130">
        <f t="shared" si="58"/>
        <v>0</v>
      </c>
      <c r="AE130">
        <v>2</v>
      </c>
      <c r="AF130">
        <f t="shared" si="59"/>
        <v>2.2000000000000002</v>
      </c>
      <c r="AG130">
        <f t="shared" si="60"/>
        <v>2.2000000000000002</v>
      </c>
    </row>
    <row r="131" spans="1:37" x14ac:dyDescent="0.3">
      <c r="A131" s="18" t="s">
        <v>3</v>
      </c>
      <c r="B131" s="13" t="s">
        <v>131</v>
      </c>
      <c r="C131" s="13"/>
      <c r="D131" s="13" t="str">
        <f t="shared" si="35"/>
        <v/>
      </c>
      <c r="F131">
        <v>82111</v>
      </c>
      <c r="G131" s="13">
        <f t="shared" si="49"/>
        <v>100</v>
      </c>
      <c r="H131" s="13" t="s">
        <v>158</v>
      </c>
      <c r="J131" s="13">
        <f t="shared" si="50"/>
        <v>82111</v>
      </c>
      <c r="K131" s="13">
        <f t="shared" si="51"/>
        <v>100</v>
      </c>
      <c r="L131" s="16">
        <v>1.1000000000000001</v>
      </c>
      <c r="M131" s="16">
        <v>0.3</v>
      </c>
      <c r="N131" s="16">
        <v>0</v>
      </c>
      <c r="O131" s="16">
        <v>0.3</v>
      </c>
      <c r="P131" s="16">
        <v>0.3</v>
      </c>
      <c r="Q131" s="16">
        <f t="shared" si="52"/>
        <v>2</v>
      </c>
      <c r="R131" s="16">
        <v>1.05</v>
      </c>
      <c r="S131" s="16">
        <f t="shared" si="53"/>
        <v>1.1550000000000002</v>
      </c>
      <c r="T131" s="16">
        <v>1.65</v>
      </c>
      <c r="U131" s="16">
        <f t="shared" si="54"/>
        <v>-0.95</v>
      </c>
      <c r="V131" s="16">
        <f t="shared" si="55"/>
        <v>-0.56999999999999995</v>
      </c>
      <c r="W131" s="16">
        <f t="shared" si="56"/>
        <v>-0.38</v>
      </c>
      <c r="Z131">
        <v>1</v>
      </c>
      <c r="AA131">
        <f t="shared" si="57"/>
        <v>0</v>
      </c>
      <c r="AB131">
        <v>5</v>
      </c>
      <c r="AC131">
        <v>2</v>
      </c>
      <c r="AD131">
        <f t="shared" si="58"/>
        <v>0</v>
      </c>
      <c r="AE131">
        <v>0.1</v>
      </c>
      <c r="AF131">
        <f t="shared" si="59"/>
        <v>0.11000000000000001</v>
      </c>
      <c r="AG131">
        <f t="shared" si="60"/>
        <v>0.22000000000000003</v>
      </c>
    </row>
    <row r="132" spans="1:37" x14ac:dyDescent="0.3">
      <c r="A132" s="18" t="s">
        <v>3</v>
      </c>
      <c r="B132" s="13" t="s">
        <v>131</v>
      </c>
      <c r="C132" s="13"/>
      <c r="D132" s="13" t="str">
        <f t="shared" ref="D132:D144" si="61">IF(C132=1,"Motor y Transmisión",IF(C132=2,"Refrigeración",IF(C132=3,"Climatización",IF(C132=4,"Sistema de Combustión",IF(C132=5,"Frenos",IF(C132=6,"Mantenimiento y Cuidado",IF(C132=7,"Carrocería","")))))))</f>
        <v/>
      </c>
      <c r="F132">
        <v>2086</v>
      </c>
      <c r="G132" s="13">
        <f t="shared" si="49"/>
        <v>100</v>
      </c>
      <c r="H132" s="13" t="s">
        <v>159</v>
      </c>
      <c r="J132" s="13">
        <f t="shared" si="50"/>
        <v>2086</v>
      </c>
      <c r="K132" s="13">
        <f t="shared" si="51"/>
        <v>100</v>
      </c>
      <c r="L132" s="16">
        <v>0.75</v>
      </c>
      <c r="M132" s="16">
        <v>0.3</v>
      </c>
      <c r="N132" s="16">
        <v>0</v>
      </c>
      <c r="O132" s="16">
        <v>0.3</v>
      </c>
      <c r="P132" s="16">
        <v>0.3</v>
      </c>
      <c r="Q132" s="16">
        <f t="shared" si="52"/>
        <v>1.6500000000000001</v>
      </c>
      <c r="S132" s="16">
        <f t="shared" si="53"/>
        <v>0</v>
      </c>
      <c r="U132" s="16">
        <f t="shared" si="54"/>
        <v>-1.6500000000000001</v>
      </c>
      <c r="V132" s="16">
        <f t="shared" si="55"/>
        <v>-0.99</v>
      </c>
      <c r="W132" s="16">
        <f t="shared" si="56"/>
        <v>-0.66000000000000014</v>
      </c>
      <c r="Z132">
        <v>1</v>
      </c>
      <c r="AA132">
        <f t="shared" si="57"/>
        <v>8</v>
      </c>
      <c r="AB132">
        <v>5</v>
      </c>
      <c r="AC132">
        <v>25</v>
      </c>
      <c r="AD132">
        <f t="shared" si="58"/>
        <v>0</v>
      </c>
      <c r="AE132">
        <v>0.1</v>
      </c>
      <c r="AF132">
        <f t="shared" si="59"/>
        <v>0.11000000000000001</v>
      </c>
      <c r="AG132">
        <f t="shared" si="60"/>
        <v>2.7500000000000004</v>
      </c>
    </row>
    <row r="133" spans="1:37" x14ac:dyDescent="0.3">
      <c r="A133" s="18" t="s">
        <v>3</v>
      </c>
      <c r="B133" s="13" t="s">
        <v>131</v>
      </c>
      <c r="C133" s="13"/>
      <c r="D133" s="13" t="str">
        <f t="shared" si="61"/>
        <v/>
      </c>
      <c r="F133">
        <v>2099</v>
      </c>
      <c r="G133" s="13">
        <f t="shared" si="49"/>
        <v>290</v>
      </c>
      <c r="H133" s="13" t="s">
        <v>160</v>
      </c>
      <c r="J133" s="13">
        <f t="shared" si="50"/>
        <v>2099</v>
      </c>
      <c r="K133" s="13">
        <f t="shared" si="51"/>
        <v>290</v>
      </c>
      <c r="L133" s="16">
        <v>6.5</v>
      </c>
      <c r="M133" s="16">
        <v>0.3</v>
      </c>
      <c r="N133" s="16">
        <v>0</v>
      </c>
      <c r="O133" s="16">
        <v>0.3</v>
      </c>
      <c r="P133" s="16">
        <v>0.3</v>
      </c>
      <c r="Q133" s="16">
        <f t="shared" si="52"/>
        <v>7.3999999999999995</v>
      </c>
      <c r="S133" s="16">
        <f t="shared" si="53"/>
        <v>0</v>
      </c>
      <c r="U133" s="16">
        <f t="shared" si="54"/>
        <v>-7.3999999999999995</v>
      </c>
      <c r="V133" s="16">
        <f t="shared" si="55"/>
        <v>-4.4399999999999995</v>
      </c>
      <c r="W133" s="16">
        <f t="shared" si="56"/>
        <v>-2.96</v>
      </c>
      <c r="Z133">
        <v>1</v>
      </c>
      <c r="AA133">
        <f t="shared" si="57"/>
        <v>4</v>
      </c>
      <c r="AB133">
        <v>5</v>
      </c>
      <c r="AC133">
        <v>12</v>
      </c>
      <c r="AD133">
        <f t="shared" si="58"/>
        <v>10</v>
      </c>
      <c r="AE133">
        <v>0.28999999999999998</v>
      </c>
      <c r="AF133">
        <f t="shared" si="59"/>
        <v>0.31900000000000001</v>
      </c>
      <c r="AG133">
        <f t="shared" si="60"/>
        <v>3.8280000000000003</v>
      </c>
    </row>
    <row r="134" spans="1:37" x14ac:dyDescent="0.3">
      <c r="A134" s="18" t="s">
        <v>3</v>
      </c>
      <c r="B134" s="13" t="s">
        <v>131</v>
      </c>
      <c r="C134" s="13"/>
      <c r="D134" s="13" t="str">
        <f t="shared" si="61"/>
        <v/>
      </c>
      <c r="F134">
        <v>93001</v>
      </c>
      <c r="G134" s="13">
        <f t="shared" si="49"/>
        <v>500</v>
      </c>
      <c r="H134" s="13" t="s">
        <v>161</v>
      </c>
      <c r="J134" s="13">
        <f t="shared" si="50"/>
        <v>93001</v>
      </c>
      <c r="K134" s="13">
        <f t="shared" si="51"/>
        <v>500</v>
      </c>
      <c r="L134" s="16">
        <v>25</v>
      </c>
      <c r="M134" s="16">
        <v>0.3</v>
      </c>
      <c r="N134" s="16">
        <v>0</v>
      </c>
      <c r="O134" s="16">
        <v>0.3</v>
      </c>
      <c r="P134" s="16">
        <v>0.3</v>
      </c>
      <c r="Q134" s="16">
        <f t="shared" si="52"/>
        <v>25.900000000000002</v>
      </c>
      <c r="R134" s="16">
        <v>35</v>
      </c>
      <c r="S134" s="16">
        <f t="shared" si="53"/>
        <v>38.5</v>
      </c>
      <c r="U134" s="16">
        <f t="shared" si="54"/>
        <v>9.0999999999999979</v>
      </c>
      <c r="V134" s="16">
        <f t="shared" si="55"/>
        <v>5.4599999999999982</v>
      </c>
      <c r="W134" s="16">
        <f t="shared" si="56"/>
        <v>3.6399999999999992</v>
      </c>
      <c r="Z134">
        <v>1</v>
      </c>
      <c r="AA134">
        <f t="shared" si="57"/>
        <v>0</v>
      </c>
      <c r="AB134">
        <v>5</v>
      </c>
      <c r="AC134">
        <v>1</v>
      </c>
      <c r="AD134">
        <f t="shared" si="58"/>
        <v>0</v>
      </c>
      <c r="AE134">
        <v>0.5</v>
      </c>
      <c r="AF134">
        <f t="shared" si="59"/>
        <v>0.55000000000000004</v>
      </c>
      <c r="AG134">
        <f t="shared" si="60"/>
        <v>0.55000000000000004</v>
      </c>
    </row>
    <row r="135" spans="1:37" x14ac:dyDescent="0.3">
      <c r="A135" s="18" t="s">
        <v>3</v>
      </c>
      <c r="B135" s="13" t="s">
        <v>131</v>
      </c>
      <c r="C135" s="13"/>
      <c r="D135" s="13" t="str">
        <f t="shared" si="61"/>
        <v/>
      </c>
      <c r="F135">
        <v>93002</v>
      </c>
      <c r="G135" s="13">
        <f t="shared" si="49"/>
        <v>10</v>
      </c>
      <c r="H135" s="13" t="s">
        <v>162</v>
      </c>
      <c r="J135" s="13">
        <f t="shared" si="50"/>
        <v>93002</v>
      </c>
      <c r="K135" s="13">
        <f t="shared" si="51"/>
        <v>10</v>
      </c>
      <c r="L135" s="16">
        <v>5</v>
      </c>
      <c r="M135" s="16">
        <v>0.3</v>
      </c>
      <c r="N135" s="16">
        <v>0</v>
      </c>
      <c r="O135" s="16">
        <v>0.3</v>
      </c>
      <c r="P135" s="16">
        <v>0.3</v>
      </c>
      <c r="Q135" s="16">
        <f t="shared" si="52"/>
        <v>5.8999999999999995</v>
      </c>
      <c r="R135" s="16">
        <v>5.75</v>
      </c>
      <c r="S135" s="16">
        <f t="shared" si="53"/>
        <v>6.3250000000000002</v>
      </c>
      <c r="U135" s="16">
        <f t="shared" si="54"/>
        <v>-0.14999999999999947</v>
      </c>
      <c r="V135" s="16">
        <f t="shared" si="55"/>
        <v>-8.9999999999999677E-2</v>
      </c>
      <c r="W135" s="16">
        <f t="shared" si="56"/>
        <v>-5.999999999999979E-2</v>
      </c>
      <c r="Z135">
        <v>1</v>
      </c>
      <c r="AA135">
        <f t="shared" si="57"/>
        <v>3</v>
      </c>
      <c r="AB135">
        <v>5</v>
      </c>
      <c r="AC135">
        <v>10</v>
      </c>
      <c r="AD135">
        <f t="shared" si="58"/>
        <v>0</v>
      </c>
      <c r="AE135">
        <v>0.01</v>
      </c>
      <c r="AF135">
        <f t="shared" si="59"/>
        <v>1.1000000000000001E-2</v>
      </c>
      <c r="AG135">
        <f t="shared" si="60"/>
        <v>0.11000000000000001</v>
      </c>
    </row>
    <row r="136" spans="1:37" x14ac:dyDescent="0.3">
      <c r="A136" s="13" t="s">
        <v>3</v>
      </c>
      <c r="B136" s="13" t="s">
        <v>163</v>
      </c>
      <c r="C136" s="13"/>
      <c r="D136" s="13" t="str">
        <f t="shared" si="61"/>
        <v/>
      </c>
      <c r="E136" s="13">
        <v>1</v>
      </c>
      <c r="F136" t="s">
        <v>73</v>
      </c>
      <c r="G136" s="13">
        <f t="shared" si="49"/>
        <v>300</v>
      </c>
      <c r="H136" s="13" t="s">
        <v>72</v>
      </c>
      <c r="I136" s="13"/>
      <c r="J136" s="13" t="str">
        <f t="shared" si="50"/>
        <v>2034-300</v>
      </c>
      <c r="K136" s="13">
        <f t="shared" si="51"/>
        <v>300</v>
      </c>
      <c r="L136" s="16">
        <v>3.5</v>
      </c>
      <c r="M136" s="16">
        <v>0.3</v>
      </c>
      <c r="N136" s="16">
        <v>0</v>
      </c>
      <c r="O136" s="16">
        <v>0.3</v>
      </c>
      <c r="P136" s="16">
        <v>0.3</v>
      </c>
      <c r="Q136" s="16">
        <f t="shared" si="52"/>
        <v>4.3999999999999995</v>
      </c>
      <c r="R136" s="16">
        <v>8.75</v>
      </c>
      <c r="S136" s="16">
        <f t="shared" si="53"/>
        <v>9.625</v>
      </c>
      <c r="T136" s="16">
        <v>15.4</v>
      </c>
      <c r="U136" s="16">
        <f t="shared" si="54"/>
        <v>4.3500000000000005</v>
      </c>
      <c r="V136" s="16">
        <f t="shared" si="55"/>
        <v>2.6100000000000003</v>
      </c>
      <c r="W136" s="16">
        <f t="shared" si="56"/>
        <v>1.7400000000000002</v>
      </c>
      <c r="Z136">
        <v>1</v>
      </c>
      <c r="AA136">
        <f t="shared" si="57"/>
        <v>8</v>
      </c>
      <c r="AB136">
        <v>5</v>
      </c>
      <c r="AC136">
        <v>24</v>
      </c>
      <c r="AD136">
        <f t="shared" si="58"/>
        <v>15</v>
      </c>
      <c r="AE136">
        <v>0.3</v>
      </c>
      <c r="AF136">
        <f t="shared" si="59"/>
        <v>0.33</v>
      </c>
      <c r="AG136">
        <f t="shared" si="60"/>
        <v>7.92</v>
      </c>
      <c r="AK136">
        <v>2</v>
      </c>
    </row>
    <row r="137" spans="1:37" x14ac:dyDescent="0.3">
      <c r="A137" s="13" t="s">
        <v>3</v>
      </c>
      <c r="B137" s="13"/>
      <c r="C137" s="13"/>
      <c r="D137" s="13" t="str">
        <f t="shared" si="61"/>
        <v/>
      </c>
      <c r="F137">
        <v>2117</v>
      </c>
      <c r="G137" s="13">
        <f t="shared" si="49"/>
        <v>0</v>
      </c>
      <c r="H137" s="13" t="s">
        <v>87</v>
      </c>
      <c r="J137" s="13">
        <f t="shared" si="50"/>
        <v>2117</v>
      </c>
      <c r="K137" s="13">
        <f t="shared" si="51"/>
        <v>0</v>
      </c>
      <c r="U137" s="16">
        <f t="shared" si="54"/>
        <v>0</v>
      </c>
      <c r="V137" s="16">
        <f t="shared" si="55"/>
        <v>0</v>
      </c>
      <c r="W137" s="16">
        <f t="shared" si="56"/>
        <v>0</v>
      </c>
      <c r="AA137">
        <f t="shared" si="57"/>
        <v>0</v>
      </c>
      <c r="AB137">
        <v>5</v>
      </c>
      <c r="AD137">
        <f t="shared" si="58"/>
        <v>0</v>
      </c>
    </row>
    <row r="138" spans="1:37" x14ac:dyDescent="0.3">
      <c r="C138">
        <v>1</v>
      </c>
      <c r="D138" s="13" t="str">
        <f t="shared" si="61"/>
        <v>Motor y Transmisión</v>
      </c>
      <c r="E138" s="13" t="s">
        <v>341</v>
      </c>
      <c r="H138" s="13" t="s">
        <v>246</v>
      </c>
      <c r="I138" s="13" t="s">
        <v>246</v>
      </c>
      <c r="AA138">
        <f t="shared" si="57"/>
        <v>0</v>
      </c>
      <c r="AB138">
        <v>5</v>
      </c>
      <c r="AD138">
        <f t="shared" si="58"/>
        <v>0</v>
      </c>
    </row>
    <row r="139" spans="1:37" x14ac:dyDescent="0.3">
      <c r="C139">
        <v>2</v>
      </c>
      <c r="D139" s="13" t="str">
        <f t="shared" si="61"/>
        <v>Refrigeración</v>
      </c>
      <c r="E139" s="13" t="s">
        <v>342</v>
      </c>
    </row>
    <row r="140" spans="1:37" x14ac:dyDescent="0.3">
      <c r="C140">
        <v>3</v>
      </c>
      <c r="D140" s="13" t="str">
        <f t="shared" si="61"/>
        <v>Climatización</v>
      </c>
      <c r="E140" s="13" t="s">
        <v>343</v>
      </c>
    </row>
    <row r="141" spans="1:37" x14ac:dyDescent="0.3">
      <c r="C141">
        <v>4</v>
      </c>
      <c r="D141" s="13" t="str">
        <f t="shared" si="61"/>
        <v>Sistema de Combustión</v>
      </c>
      <c r="E141" s="13" t="s">
        <v>345</v>
      </c>
    </row>
    <row r="142" spans="1:37" x14ac:dyDescent="0.3">
      <c r="C142">
        <v>5</v>
      </c>
      <c r="D142" s="13" t="str">
        <f t="shared" si="61"/>
        <v>Frenos</v>
      </c>
      <c r="E142" s="13" t="s">
        <v>344</v>
      </c>
    </row>
    <row r="143" spans="1:37" x14ac:dyDescent="0.3">
      <c r="C143">
        <v>6</v>
      </c>
      <c r="D143" s="13" t="str">
        <f t="shared" si="61"/>
        <v>Mantenimiento y Cuidado</v>
      </c>
      <c r="E143" s="13" t="s">
        <v>346</v>
      </c>
    </row>
    <row r="144" spans="1:37" x14ac:dyDescent="0.3">
      <c r="C144">
        <v>7</v>
      </c>
      <c r="D144" s="13" t="str">
        <f t="shared" si="61"/>
        <v>Carrocería</v>
      </c>
      <c r="E144" s="13" t="s">
        <v>347</v>
      </c>
    </row>
  </sheetData>
  <autoFilter ref="A2:AZ144" xr:uid="{1C9AF729-D14F-4D43-9D10-2EBE5E56EE12}"/>
  <sortState xmlns:xlrd2="http://schemas.microsoft.com/office/spreadsheetml/2017/richdata2" ref="A3:AZ138">
    <sortCondition ref="C3:C138"/>
  </sortState>
  <phoneticPr fontId="8" type="noConversion"/>
  <conditionalFormatting sqref="F1:F1048576">
    <cfRule type="cellIs" dxfId="5" priority="1" operator="equal">
      <formula>21991</formula>
    </cfRule>
  </conditionalFormatting>
  <conditionalFormatting sqref="F2:F1048576">
    <cfRule type="cellIs" dxfId="4" priority="3" operator="equal">
      <formula>2097</formula>
    </cfRule>
  </conditionalFormatting>
  <conditionalFormatting sqref="AA2:AB2 U2:X1048576">
    <cfRule type="cellIs" dxfId="3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0B5C5-0C8C-43E0-9045-23BE025FBC0A}">
  <dimension ref="A1:N95"/>
  <sheetViews>
    <sheetView zoomScale="70" zoomScaleNormal="70" workbookViewId="0">
      <selection activeCell="H32" sqref="H31:H32"/>
    </sheetView>
  </sheetViews>
  <sheetFormatPr baseColWidth="10" defaultColWidth="8.88671875" defaultRowHeight="14.4" x14ac:dyDescent="0.3"/>
  <cols>
    <col min="1" max="1" width="11" customWidth="1"/>
    <col min="2" max="3" width="24" customWidth="1"/>
    <col min="4" max="4" width="42.6640625" customWidth="1"/>
    <col min="5" max="9" width="15.6640625" customWidth="1"/>
    <col min="10" max="13" width="8.88671875" customWidth="1"/>
    <col min="14" max="14" width="8.88671875" style="12" customWidth="1"/>
    <col min="15" max="15" width="8.88671875" customWidth="1"/>
  </cols>
  <sheetData>
    <row r="1" spans="1:7" ht="39.9" customHeight="1" x14ac:dyDescent="0.3">
      <c r="D1" s="93" t="s">
        <v>246</v>
      </c>
    </row>
    <row r="2" spans="1:7" x14ac:dyDescent="0.3">
      <c r="A2" s="13">
        <v>1</v>
      </c>
      <c r="B2" s="13" t="str">
        <f>IF(A2=1,"Motor y Transmisión",IF(A2=2,"Refrigeración",IF(A2=3,"Climatización",IF(A2=4,"Sistema de Combustión",IF(A2=5,"Frenos",IF(A2=6,"Mantenimiento y Cuidado",IF(A2=7,"Carrocería","")))))))</f>
        <v>Motor y Transmisión</v>
      </c>
      <c r="C2" s="13" t="s">
        <v>341</v>
      </c>
      <c r="D2" s="13" t="s">
        <v>168</v>
      </c>
      <c r="G2" s="13" t="s">
        <v>348</v>
      </c>
    </row>
    <row r="3" spans="1:7" x14ac:dyDescent="0.3">
      <c r="A3" s="13">
        <v>1</v>
      </c>
      <c r="B3" s="13" t="str">
        <f t="shared" ref="B3:B72" si="0">IF(A3=1,"Motor y Transmisión",IF(A3=2,"Refrigeración",IF(A3=3,"Climatización",IF(A3=4,"Sistema de Combustión",IF(A3=5,"Frenos",IF(A3=6,"Mantenimiento y Cuidado",IF(A3=7,"Carrocería","")))))))</f>
        <v>Motor y Transmisión</v>
      </c>
      <c r="C3" s="13" t="s">
        <v>341</v>
      </c>
      <c r="D3" s="13" t="s">
        <v>171</v>
      </c>
      <c r="G3" t="s">
        <v>342</v>
      </c>
    </row>
    <row r="4" spans="1:7" x14ac:dyDescent="0.3">
      <c r="A4" s="13">
        <v>1</v>
      </c>
      <c r="B4" s="13" t="str">
        <f t="shared" si="0"/>
        <v>Motor y Transmisión</v>
      </c>
      <c r="C4" s="13" t="s">
        <v>341</v>
      </c>
      <c r="D4" s="13" t="s">
        <v>324</v>
      </c>
      <c r="G4" t="s">
        <v>343</v>
      </c>
    </row>
    <row r="5" spans="1:7" x14ac:dyDescent="0.3">
      <c r="A5" s="13">
        <v>1</v>
      </c>
      <c r="B5" s="13" t="str">
        <f t="shared" si="0"/>
        <v>Motor y Transmisión</v>
      </c>
      <c r="C5" s="13" t="s">
        <v>341</v>
      </c>
      <c r="D5" s="13" t="s">
        <v>325</v>
      </c>
      <c r="G5" s="13" t="s">
        <v>349</v>
      </c>
    </row>
    <row r="6" spans="1:7" x14ac:dyDescent="0.3">
      <c r="A6" s="13">
        <v>1</v>
      </c>
      <c r="B6" s="13" t="str">
        <f t="shared" si="0"/>
        <v>Motor y Transmisión</v>
      </c>
      <c r="C6" s="13" t="s">
        <v>341</v>
      </c>
      <c r="D6" s="13" t="s">
        <v>172</v>
      </c>
      <c r="G6" t="s">
        <v>344</v>
      </c>
    </row>
    <row r="7" spans="1:7" x14ac:dyDescent="0.3">
      <c r="A7" s="13">
        <v>1</v>
      </c>
      <c r="B7" s="13" t="str">
        <f t="shared" si="0"/>
        <v>Motor y Transmisión</v>
      </c>
      <c r="C7" s="13" t="s">
        <v>341</v>
      </c>
      <c r="D7" s="13" t="s">
        <v>173</v>
      </c>
      <c r="G7" s="13" t="s">
        <v>350</v>
      </c>
    </row>
    <row r="8" spans="1:7" x14ac:dyDescent="0.3">
      <c r="A8" s="13">
        <v>1</v>
      </c>
      <c r="B8" s="13" t="str">
        <f t="shared" si="0"/>
        <v>Motor y Transmisión</v>
      </c>
      <c r="C8" s="13" t="s">
        <v>341</v>
      </c>
      <c r="D8" s="13" t="s">
        <v>169</v>
      </c>
      <c r="G8" t="s">
        <v>347</v>
      </c>
    </row>
    <row r="9" spans="1:7" x14ac:dyDescent="0.3">
      <c r="A9" s="13">
        <v>1</v>
      </c>
      <c r="B9" s="13" t="str">
        <f t="shared" si="0"/>
        <v>Motor y Transmisión</v>
      </c>
      <c r="C9" s="13" t="s">
        <v>341</v>
      </c>
      <c r="D9" s="13" t="s">
        <v>174</v>
      </c>
      <c r="G9" t="s">
        <v>246</v>
      </c>
    </row>
    <row r="10" spans="1:7" x14ac:dyDescent="0.3">
      <c r="A10" s="13">
        <v>1</v>
      </c>
      <c r="B10" s="13" t="str">
        <f t="shared" si="0"/>
        <v>Motor y Transmisión</v>
      </c>
      <c r="C10" s="13" t="s">
        <v>341</v>
      </c>
      <c r="D10" s="13" t="s">
        <v>175</v>
      </c>
    </row>
    <row r="11" spans="1:7" x14ac:dyDescent="0.3">
      <c r="A11" s="13">
        <v>1</v>
      </c>
      <c r="B11" s="13" t="str">
        <f t="shared" si="0"/>
        <v>Motor y Transmisión</v>
      </c>
      <c r="C11" s="13" t="s">
        <v>341</v>
      </c>
      <c r="D11" s="13" t="s">
        <v>176</v>
      </c>
    </row>
    <row r="12" spans="1:7" ht="39.9" customHeight="1" x14ac:dyDescent="0.3">
      <c r="A12" s="13"/>
      <c r="B12" s="13"/>
      <c r="C12" s="13"/>
      <c r="D12" s="13" t="s">
        <v>246</v>
      </c>
    </row>
    <row r="13" spans="1:7" x14ac:dyDescent="0.3">
      <c r="A13" s="13">
        <v>2</v>
      </c>
      <c r="B13" s="13" t="str">
        <f t="shared" si="0"/>
        <v>Refrigeración</v>
      </c>
      <c r="C13" s="13" t="s">
        <v>342</v>
      </c>
      <c r="D13" s="13" t="s">
        <v>178</v>
      </c>
    </row>
    <row r="14" spans="1:7" x14ac:dyDescent="0.3">
      <c r="A14" s="13">
        <v>2</v>
      </c>
      <c r="B14" s="13" t="str">
        <f t="shared" si="0"/>
        <v>Refrigeración</v>
      </c>
      <c r="C14" s="13" t="s">
        <v>342</v>
      </c>
      <c r="D14" s="13" t="s">
        <v>179</v>
      </c>
    </row>
    <row r="15" spans="1:7" x14ac:dyDescent="0.3">
      <c r="A15" s="13">
        <v>2</v>
      </c>
      <c r="B15" s="13" t="str">
        <f t="shared" si="0"/>
        <v>Refrigeración</v>
      </c>
      <c r="C15" s="13" t="s">
        <v>342</v>
      </c>
      <c r="D15" s="13" t="s">
        <v>180</v>
      </c>
    </row>
    <row r="16" spans="1:7" x14ac:dyDescent="0.3">
      <c r="A16" s="13">
        <v>2</v>
      </c>
      <c r="B16" s="13" t="str">
        <f t="shared" si="0"/>
        <v>Refrigeración</v>
      </c>
      <c r="C16" s="13" t="s">
        <v>342</v>
      </c>
      <c r="D16" s="13" t="s">
        <v>181</v>
      </c>
    </row>
    <row r="17" spans="1:4" ht="39.9" customHeight="1" x14ac:dyDescent="0.3">
      <c r="A17" s="13"/>
      <c r="B17" s="13"/>
      <c r="C17" s="13"/>
      <c r="D17" s="13" t="s">
        <v>246</v>
      </c>
    </row>
    <row r="18" spans="1:4" x14ac:dyDescent="0.3">
      <c r="A18" s="13">
        <v>3</v>
      </c>
      <c r="B18" s="13" t="str">
        <f t="shared" si="0"/>
        <v>Climatización</v>
      </c>
      <c r="C18" s="13" t="s">
        <v>343</v>
      </c>
      <c r="D18" s="13" t="s">
        <v>182</v>
      </c>
    </row>
    <row r="19" spans="1:4" x14ac:dyDescent="0.3">
      <c r="A19" s="13">
        <v>3</v>
      </c>
      <c r="B19" s="13" t="str">
        <f t="shared" si="0"/>
        <v>Climatización</v>
      </c>
      <c r="C19" s="13" t="s">
        <v>343</v>
      </c>
      <c r="D19" s="13" t="s">
        <v>44</v>
      </c>
    </row>
    <row r="20" spans="1:4" x14ac:dyDescent="0.3">
      <c r="A20" s="13">
        <v>3</v>
      </c>
      <c r="B20" s="13" t="str">
        <f t="shared" si="0"/>
        <v>Climatización</v>
      </c>
      <c r="C20" s="13" t="s">
        <v>343</v>
      </c>
      <c r="D20" s="13" t="s">
        <v>183</v>
      </c>
    </row>
    <row r="21" spans="1:4" x14ac:dyDescent="0.3">
      <c r="A21" s="13">
        <v>3</v>
      </c>
      <c r="B21" s="13" t="str">
        <f t="shared" si="0"/>
        <v>Climatización</v>
      </c>
      <c r="C21" s="13" t="s">
        <v>343</v>
      </c>
      <c r="D21" s="13" t="s">
        <v>187</v>
      </c>
    </row>
    <row r="22" spans="1:4" x14ac:dyDescent="0.3">
      <c r="A22" s="13">
        <v>3</v>
      </c>
      <c r="B22" s="13" t="str">
        <f t="shared" si="0"/>
        <v>Climatización</v>
      </c>
      <c r="C22" s="13" t="s">
        <v>343</v>
      </c>
      <c r="D22" s="13" t="s">
        <v>188</v>
      </c>
    </row>
    <row r="23" spans="1:4" x14ac:dyDescent="0.3">
      <c r="A23" s="13">
        <v>3</v>
      </c>
      <c r="B23" s="13" t="str">
        <f t="shared" si="0"/>
        <v>Climatización</v>
      </c>
      <c r="C23" s="13" t="s">
        <v>343</v>
      </c>
      <c r="D23" s="13" t="s">
        <v>316</v>
      </c>
    </row>
    <row r="24" spans="1:4" x14ac:dyDescent="0.3">
      <c r="A24" s="13">
        <v>3</v>
      </c>
      <c r="B24" s="13" t="str">
        <f t="shared" si="0"/>
        <v>Climatización</v>
      </c>
      <c r="C24" s="13" t="s">
        <v>343</v>
      </c>
      <c r="D24" s="13" t="s">
        <v>318</v>
      </c>
    </row>
    <row r="25" spans="1:4" x14ac:dyDescent="0.3">
      <c r="A25" s="13">
        <v>3</v>
      </c>
      <c r="B25" s="13" t="str">
        <f t="shared" si="0"/>
        <v>Climatización</v>
      </c>
      <c r="C25" s="13" t="s">
        <v>343</v>
      </c>
      <c r="D25" s="13" t="s">
        <v>317</v>
      </c>
    </row>
    <row r="26" spans="1:4" ht="14.25" customHeight="1" x14ac:dyDescent="0.3">
      <c r="A26" s="13">
        <v>3</v>
      </c>
      <c r="B26" s="13" t="str">
        <f t="shared" si="0"/>
        <v>Climatización</v>
      </c>
      <c r="C26" s="13" t="s">
        <v>343</v>
      </c>
      <c r="D26" s="13" t="s">
        <v>287</v>
      </c>
    </row>
    <row r="27" spans="1:4" x14ac:dyDescent="0.3">
      <c r="A27" s="13">
        <v>3</v>
      </c>
      <c r="B27" s="13" t="str">
        <f t="shared" si="0"/>
        <v>Climatización</v>
      </c>
      <c r="C27" s="13" t="s">
        <v>343</v>
      </c>
      <c r="D27" s="13" t="s">
        <v>288</v>
      </c>
    </row>
    <row r="28" spans="1:4" x14ac:dyDescent="0.3">
      <c r="A28" s="13">
        <v>3</v>
      </c>
      <c r="B28" s="13" t="str">
        <f t="shared" si="0"/>
        <v>Climatización</v>
      </c>
      <c r="C28" s="13" t="s">
        <v>343</v>
      </c>
      <c r="D28" s="13" t="s">
        <v>327</v>
      </c>
    </row>
    <row r="29" spans="1:4" x14ac:dyDescent="0.3">
      <c r="A29" s="13">
        <v>3</v>
      </c>
      <c r="B29" s="13" t="str">
        <f t="shared" si="0"/>
        <v>Climatización</v>
      </c>
      <c r="C29" s="13" t="s">
        <v>343</v>
      </c>
      <c r="D29" s="13" t="s">
        <v>328</v>
      </c>
    </row>
    <row r="30" spans="1:4" x14ac:dyDescent="0.3">
      <c r="A30" s="13">
        <v>3</v>
      </c>
      <c r="B30" s="13" t="str">
        <f t="shared" si="0"/>
        <v>Climatización</v>
      </c>
      <c r="C30" s="13" t="s">
        <v>343</v>
      </c>
      <c r="D30" s="13" t="s">
        <v>187</v>
      </c>
    </row>
    <row r="31" spans="1:4" ht="39.9" customHeight="1" x14ac:dyDescent="0.3">
      <c r="A31" s="13"/>
      <c r="B31" s="13"/>
      <c r="C31" s="13"/>
      <c r="D31" s="13" t="s">
        <v>246</v>
      </c>
    </row>
    <row r="32" spans="1:4" x14ac:dyDescent="0.3">
      <c r="A32" s="13">
        <v>4</v>
      </c>
      <c r="B32" s="13" t="str">
        <f t="shared" si="0"/>
        <v>Sistema de Combustión</v>
      </c>
      <c r="C32" s="13" t="s">
        <v>345</v>
      </c>
      <c r="D32" s="13" t="s">
        <v>197</v>
      </c>
    </row>
    <row r="33" spans="1:4" x14ac:dyDescent="0.3">
      <c r="A33" s="13">
        <v>4</v>
      </c>
      <c r="B33" s="13" t="str">
        <f t="shared" si="0"/>
        <v>Sistema de Combustión</v>
      </c>
      <c r="C33" s="13" t="s">
        <v>345</v>
      </c>
      <c r="D33" s="13" t="s">
        <v>198</v>
      </c>
    </row>
    <row r="34" spans="1:4" x14ac:dyDescent="0.3">
      <c r="A34" s="13">
        <v>4</v>
      </c>
      <c r="B34" s="13" t="str">
        <f t="shared" si="0"/>
        <v>Sistema de Combustión</v>
      </c>
      <c r="C34" s="13" t="s">
        <v>345</v>
      </c>
      <c r="D34" s="13" t="s">
        <v>329</v>
      </c>
    </row>
    <row r="35" spans="1:4" x14ac:dyDescent="0.3">
      <c r="A35" s="13">
        <v>4</v>
      </c>
      <c r="B35" s="13" t="str">
        <f t="shared" si="0"/>
        <v>Sistema de Combustión</v>
      </c>
      <c r="C35" s="13" t="s">
        <v>345</v>
      </c>
      <c r="D35" s="13" t="s">
        <v>200</v>
      </c>
    </row>
    <row r="36" spans="1:4" x14ac:dyDescent="0.3">
      <c r="A36" s="13">
        <v>4</v>
      </c>
      <c r="B36" s="13" t="str">
        <f t="shared" si="0"/>
        <v>Sistema de Combustión</v>
      </c>
      <c r="C36" s="13" t="s">
        <v>345</v>
      </c>
      <c r="D36" s="13" t="s">
        <v>289</v>
      </c>
    </row>
    <row r="37" spans="1:4" x14ac:dyDescent="0.3">
      <c r="A37" s="13">
        <v>4</v>
      </c>
      <c r="B37" s="13" t="str">
        <f t="shared" si="0"/>
        <v>Sistema de Combustión</v>
      </c>
      <c r="C37" s="13" t="s">
        <v>345</v>
      </c>
      <c r="D37" s="13" t="s">
        <v>290</v>
      </c>
    </row>
    <row r="38" spans="1:4" x14ac:dyDescent="0.3">
      <c r="A38" s="13">
        <v>4</v>
      </c>
      <c r="B38" s="13" t="str">
        <f t="shared" si="0"/>
        <v>Sistema de Combustión</v>
      </c>
      <c r="C38" s="13" t="s">
        <v>345</v>
      </c>
      <c r="D38" s="13" t="s">
        <v>201</v>
      </c>
    </row>
    <row r="39" spans="1:4" x14ac:dyDescent="0.3">
      <c r="A39" s="13">
        <v>4</v>
      </c>
      <c r="B39" s="13" t="str">
        <f t="shared" si="0"/>
        <v>Sistema de Combustión</v>
      </c>
      <c r="C39" s="13" t="s">
        <v>345</v>
      </c>
      <c r="D39" s="13" t="s">
        <v>291</v>
      </c>
    </row>
    <row r="40" spans="1:4" x14ac:dyDescent="0.3">
      <c r="A40" s="13">
        <v>4</v>
      </c>
      <c r="B40" s="13" t="str">
        <f t="shared" si="0"/>
        <v>Sistema de Combustión</v>
      </c>
      <c r="C40" s="13" t="s">
        <v>345</v>
      </c>
      <c r="D40" s="13" t="s">
        <v>292</v>
      </c>
    </row>
    <row r="41" spans="1:4" x14ac:dyDescent="0.3">
      <c r="A41" s="13">
        <v>4</v>
      </c>
      <c r="B41" s="13" t="str">
        <f t="shared" si="0"/>
        <v>Sistema de Combustión</v>
      </c>
      <c r="C41" s="13" t="s">
        <v>345</v>
      </c>
      <c r="D41" s="13" t="s">
        <v>293</v>
      </c>
    </row>
    <row r="42" spans="1:4" x14ac:dyDescent="0.3">
      <c r="A42" s="13">
        <v>4</v>
      </c>
      <c r="B42" s="13" t="str">
        <f t="shared" si="0"/>
        <v>Sistema de Combustión</v>
      </c>
      <c r="C42" s="13" t="s">
        <v>345</v>
      </c>
      <c r="D42" s="13" t="s">
        <v>294</v>
      </c>
    </row>
    <row r="43" spans="1:4" x14ac:dyDescent="0.3">
      <c r="A43" s="13">
        <v>4</v>
      </c>
      <c r="B43" s="13" t="str">
        <f t="shared" si="0"/>
        <v>Sistema de Combustión</v>
      </c>
      <c r="C43" s="13" t="s">
        <v>345</v>
      </c>
      <c r="D43" s="13" t="s">
        <v>202</v>
      </c>
    </row>
    <row r="44" spans="1:4" x14ac:dyDescent="0.3">
      <c r="A44" s="13">
        <v>4</v>
      </c>
      <c r="B44" s="13" t="str">
        <f t="shared" si="0"/>
        <v>Sistema de Combustión</v>
      </c>
      <c r="C44" s="13" t="s">
        <v>345</v>
      </c>
      <c r="D44" s="13" t="s">
        <v>203</v>
      </c>
    </row>
    <row r="45" spans="1:4" x14ac:dyDescent="0.3">
      <c r="A45" s="13">
        <v>4</v>
      </c>
      <c r="B45" s="13" t="str">
        <f t="shared" si="0"/>
        <v>Sistema de Combustión</v>
      </c>
      <c r="C45" s="13" t="s">
        <v>345</v>
      </c>
      <c r="D45" s="13" t="s">
        <v>204</v>
      </c>
    </row>
    <row r="46" spans="1:4" x14ac:dyDescent="0.3">
      <c r="A46" s="13">
        <v>4</v>
      </c>
      <c r="B46" s="13" t="str">
        <f t="shared" si="0"/>
        <v>Sistema de Combustión</v>
      </c>
      <c r="C46" s="13" t="s">
        <v>345</v>
      </c>
      <c r="D46" s="13" t="s">
        <v>320</v>
      </c>
    </row>
    <row r="47" spans="1:4" x14ac:dyDescent="0.3">
      <c r="A47" s="13">
        <v>4</v>
      </c>
      <c r="B47" s="13" t="str">
        <f t="shared" si="0"/>
        <v>Sistema de Combustión</v>
      </c>
      <c r="C47" s="13" t="s">
        <v>345</v>
      </c>
      <c r="D47" s="13" t="s">
        <v>319</v>
      </c>
    </row>
    <row r="48" spans="1:4" x14ac:dyDescent="0.3">
      <c r="A48" s="13">
        <v>4</v>
      </c>
      <c r="B48" s="13" t="str">
        <f t="shared" si="0"/>
        <v>Sistema de Combustión</v>
      </c>
      <c r="C48" s="13" t="s">
        <v>345</v>
      </c>
      <c r="D48" s="13" t="s">
        <v>295</v>
      </c>
    </row>
    <row r="49" spans="1:4" x14ac:dyDescent="0.3">
      <c r="A49" s="13">
        <v>4</v>
      </c>
      <c r="B49" s="13" t="str">
        <f t="shared" si="0"/>
        <v>Sistema de Combustión</v>
      </c>
      <c r="C49" s="13" t="s">
        <v>345</v>
      </c>
      <c r="D49" s="13" t="s">
        <v>296</v>
      </c>
    </row>
    <row r="50" spans="1:4" x14ac:dyDescent="0.3">
      <c r="A50" s="13">
        <v>4</v>
      </c>
      <c r="B50" s="13" t="str">
        <f t="shared" si="0"/>
        <v>Sistema de Combustión</v>
      </c>
      <c r="C50" s="13" t="s">
        <v>345</v>
      </c>
      <c r="D50" s="13" t="s">
        <v>297</v>
      </c>
    </row>
    <row r="51" spans="1:4" x14ac:dyDescent="0.3">
      <c r="A51" s="13">
        <v>4</v>
      </c>
      <c r="B51" s="13" t="str">
        <f t="shared" si="0"/>
        <v>Sistema de Combustión</v>
      </c>
      <c r="C51" s="13" t="s">
        <v>345</v>
      </c>
      <c r="D51" s="13" t="s">
        <v>298</v>
      </c>
    </row>
    <row r="52" spans="1:4" ht="15.75" customHeight="1" x14ac:dyDescent="0.3">
      <c r="A52" s="13">
        <v>4</v>
      </c>
      <c r="B52" s="13" t="str">
        <f t="shared" si="0"/>
        <v>Sistema de Combustión</v>
      </c>
      <c r="C52" s="13" t="s">
        <v>345</v>
      </c>
      <c r="D52" s="13" t="s">
        <v>205</v>
      </c>
    </row>
    <row r="53" spans="1:4" x14ac:dyDescent="0.3">
      <c r="A53" s="13">
        <v>4</v>
      </c>
      <c r="B53" s="13" t="str">
        <f t="shared" si="0"/>
        <v>Sistema de Combustión</v>
      </c>
      <c r="C53" s="13" t="s">
        <v>345</v>
      </c>
      <c r="D53" s="13" t="s">
        <v>207</v>
      </c>
    </row>
    <row r="54" spans="1:4" x14ac:dyDescent="0.3">
      <c r="A54" s="13">
        <v>4</v>
      </c>
      <c r="B54" s="13" t="str">
        <f t="shared" si="0"/>
        <v>Sistema de Combustión</v>
      </c>
      <c r="C54" s="13" t="s">
        <v>345</v>
      </c>
      <c r="D54" s="13" t="s">
        <v>208</v>
      </c>
    </row>
    <row r="55" spans="1:4" ht="39.9" customHeight="1" x14ac:dyDescent="0.3">
      <c r="A55" s="13"/>
      <c r="B55" s="13"/>
      <c r="C55" s="13"/>
      <c r="D55" s="13" t="s">
        <v>246</v>
      </c>
    </row>
    <row r="56" spans="1:4" x14ac:dyDescent="0.3">
      <c r="A56" s="13">
        <v>5</v>
      </c>
      <c r="B56" s="13" t="str">
        <f t="shared" si="0"/>
        <v>Frenos</v>
      </c>
      <c r="C56" s="13" t="s">
        <v>344</v>
      </c>
      <c r="D56" s="13" t="s">
        <v>299</v>
      </c>
    </row>
    <row r="57" spans="1:4" x14ac:dyDescent="0.3">
      <c r="A57" s="13">
        <v>5</v>
      </c>
      <c r="B57" s="13" t="str">
        <f t="shared" si="0"/>
        <v>Frenos</v>
      </c>
      <c r="C57" s="13" t="s">
        <v>344</v>
      </c>
      <c r="D57" s="13" t="s">
        <v>300</v>
      </c>
    </row>
    <row r="58" spans="1:4" x14ac:dyDescent="0.3">
      <c r="A58" s="13">
        <v>5</v>
      </c>
      <c r="B58" s="13" t="str">
        <f t="shared" si="0"/>
        <v>Frenos</v>
      </c>
      <c r="C58" s="13" t="s">
        <v>344</v>
      </c>
      <c r="D58" s="13" t="s">
        <v>210</v>
      </c>
    </row>
    <row r="59" spans="1:4" x14ac:dyDescent="0.3">
      <c r="A59" s="13">
        <v>5</v>
      </c>
      <c r="B59" s="13" t="str">
        <f t="shared" si="0"/>
        <v>Frenos</v>
      </c>
      <c r="C59" s="13" t="s">
        <v>344</v>
      </c>
      <c r="D59" s="13" t="s">
        <v>211</v>
      </c>
    </row>
    <row r="60" spans="1:4" x14ac:dyDescent="0.3">
      <c r="A60" s="13">
        <v>5</v>
      </c>
      <c r="B60" s="13" t="str">
        <f t="shared" si="0"/>
        <v>Frenos</v>
      </c>
      <c r="C60" s="13" t="s">
        <v>344</v>
      </c>
      <c r="D60" s="13" t="s">
        <v>212</v>
      </c>
    </row>
    <row r="61" spans="1:4" ht="39.9" customHeight="1" x14ac:dyDescent="0.3">
      <c r="A61" s="13"/>
      <c r="B61" s="13"/>
      <c r="C61" s="13"/>
      <c r="D61" s="13" t="s">
        <v>246</v>
      </c>
    </row>
    <row r="62" spans="1:4" x14ac:dyDescent="0.3">
      <c r="A62" s="13">
        <v>6</v>
      </c>
      <c r="B62" s="13" t="str">
        <f t="shared" si="0"/>
        <v>Mantenimiento y Cuidado</v>
      </c>
      <c r="C62" s="13" t="s">
        <v>346</v>
      </c>
      <c r="D62" s="13" t="s">
        <v>213</v>
      </c>
    </row>
    <row r="63" spans="1:4" x14ac:dyDescent="0.3">
      <c r="A63" s="13">
        <v>6</v>
      </c>
      <c r="B63" s="13" t="str">
        <f t="shared" si="0"/>
        <v>Mantenimiento y Cuidado</v>
      </c>
      <c r="C63" s="13" t="s">
        <v>346</v>
      </c>
      <c r="D63" s="13" t="s">
        <v>214</v>
      </c>
    </row>
    <row r="64" spans="1:4" x14ac:dyDescent="0.3">
      <c r="A64" s="13">
        <v>6</v>
      </c>
      <c r="B64" s="13" t="str">
        <f t="shared" si="0"/>
        <v>Mantenimiento y Cuidado</v>
      </c>
      <c r="C64" s="13" t="s">
        <v>346</v>
      </c>
      <c r="D64" s="13" t="s">
        <v>301</v>
      </c>
    </row>
    <row r="65" spans="1:4" x14ac:dyDescent="0.3">
      <c r="A65" s="13">
        <v>6</v>
      </c>
      <c r="B65" s="13" t="str">
        <f t="shared" si="0"/>
        <v>Mantenimiento y Cuidado</v>
      </c>
      <c r="C65" s="13" t="s">
        <v>346</v>
      </c>
      <c r="D65" t="s">
        <v>215</v>
      </c>
    </row>
    <row r="66" spans="1:4" x14ac:dyDescent="0.3">
      <c r="A66" s="13">
        <v>6</v>
      </c>
      <c r="B66" s="13" t="str">
        <f t="shared" si="0"/>
        <v>Mantenimiento y Cuidado</v>
      </c>
      <c r="C66" s="13" t="s">
        <v>346</v>
      </c>
      <c r="D66" t="s">
        <v>216</v>
      </c>
    </row>
    <row r="67" spans="1:4" x14ac:dyDescent="0.3">
      <c r="A67" s="13">
        <v>6</v>
      </c>
      <c r="B67" s="13" t="str">
        <f t="shared" si="0"/>
        <v>Mantenimiento y Cuidado</v>
      </c>
      <c r="C67" s="13" t="s">
        <v>346</v>
      </c>
      <c r="D67" t="s">
        <v>217</v>
      </c>
    </row>
    <row r="68" spans="1:4" x14ac:dyDescent="0.3">
      <c r="A68" s="13">
        <v>6</v>
      </c>
      <c r="B68" s="13" t="str">
        <f t="shared" si="0"/>
        <v>Mantenimiento y Cuidado</v>
      </c>
      <c r="C68" s="13" t="s">
        <v>346</v>
      </c>
      <c r="D68" t="s">
        <v>218</v>
      </c>
    </row>
    <row r="69" spans="1:4" x14ac:dyDescent="0.3">
      <c r="A69" s="13">
        <v>6</v>
      </c>
      <c r="B69" s="13" t="str">
        <f t="shared" si="0"/>
        <v>Mantenimiento y Cuidado</v>
      </c>
      <c r="C69" s="13" t="s">
        <v>346</v>
      </c>
      <c r="D69" t="s">
        <v>219</v>
      </c>
    </row>
    <row r="70" spans="1:4" ht="15.6" x14ac:dyDescent="0.35">
      <c r="A70" s="13">
        <v>6</v>
      </c>
      <c r="B70" s="13" t="str">
        <f t="shared" si="0"/>
        <v>Mantenimiento y Cuidado</v>
      </c>
      <c r="C70" s="13" t="s">
        <v>346</v>
      </c>
      <c r="D70" s="13" t="s">
        <v>221</v>
      </c>
    </row>
    <row r="71" spans="1:4" x14ac:dyDescent="0.3">
      <c r="A71" s="13">
        <v>6</v>
      </c>
      <c r="B71" s="13" t="str">
        <f t="shared" si="0"/>
        <v>Mantenimiento y Cuidado</v>
      </c>
      <c r="C71" s="13" t="s">
        <v>346</v>
      </c>
      <c r="D71" s="13" t="s">
        <v>222</v>
      </c>
    </row>
    <row r="72" spans="1:4" x14ac:dyDescent="0.3">
      <c r="A72" s="13">
        <v>6</v>
      </c>
      <c r="B72" s="13" t="str">
        <f t="shared" si="0"/>
        <v>Mantenimiento y Cuidado</v>
      </c>
      <c r="C72" s="13" t="s">
        <v>346</v>
      </c>
      <c r="D72" s="13" t="s">
        <v>330</v>
      </c>
    </row>
    <row r="73" spans="1:4" x14ac:dyDescent="0.3">
      <c r="A73" s="13">
        <v>6</v>
      </c>
      <c r="B73" s="13" t="str">
        <f t="shared" ref="B73:B95" si="1">IF(A73=1,"Motor y Transmisión",IF(A73=2,"Refrigeración",IF(A73=3,"Climatización",IF(A73=4,"Sistema de Combustión",IF(A73=5,"Frenos",IF(A73=6,"Mantenimiento y Cuidado",IF(A73=7,"Carrocería","")))))))</f>
        <v>Mantenimiento y Cuidado</v>
      </c>
      <c r="C73" s="13" t="s">
        <v>346</v>
      </c>
      <c r="D73" s="13" t="s">
        <v>224</v>
      </c>
    </row>
    <row r="74" spans="1:4" x14ac:dyDescent="0.3">
      <c r="A74" s="13">
        <v>6</v>
      </c>
      <c r="B74" s="13" t="str">
        <f t="shared" si="1"/>
        <v>Mantenimiento y Cuidado</v>
      </c>
      <c r="C74" s="13" t="s">
        <v>346</v>
      </c>
      <c r="D74" s="13" t="s">
        <v>225</v>
      </c>
    </row>
    <row r="75" spans="1:4" x14ac:dyDescent="0.3">
      <c r="A75" s="13">
        <v>6</v>
      </c>
      <c r="B75" s="13" t="str">
        <f t="shared" si="1"/>
        <v>Mantenimiento y Cuidado</v>
      </c>
      <c r="C75" s="13" t="s">
        <v>346</v>
      </c>
      <c r="D75" t="s">
        <v>226</v>
      </c>
    </row>
    <row r="76" spans="1:4" x14ac:dyDescent="0.3">
      <c r="A76" s="13">
        <v>6</v>
      </c>
      <c r="B76" s="13" t="str">
        <f t="shared" si="1"/>
        <v>Mantenimiento y Cuidado</v>
      </c>
      <c r="C76" s="13" t="s">
        <v>346</v>
      </c>
      <c r="D76" s="13" t="s">
        <v>331</v>
      </c>
    </row>
    <row r="77" spans="1:4" x14ac:dyDescent="0.3">
      <c r="A77" s="13">
        <v>6</v>
      </c>
      <c r="B77" s="13" t="str">
        <f t="shared" si="1"/>
        <v>Mantenimiento y Cuidado</v>
      </c>
      <c r="C77" s="13" t="s">
        <v>346</v>
      </c>
      <c r="D77" s="13" t="s">
        <v>303</v>
      </c>
    </row>
    <row r="78" spans="1:4" x14ac:dyDescent="0.3">
      <c r="A78" s="13">
        <v>6</v>
      </c>
      <c r="B78" s="13" t="str">
        <f t="shared" si="1"/>
        <v>Mantenimiento y Cuidado</v>
      </c>
      <c r="C78" s="13" t="s">
        <v>346</v>
      </c>
      <c r="D78" s="13" t="s">
        <v>323</v>
      </c>
    </row>
    <row r="79" spans="1:4" x14ac:dyDescent="0.3">
      <c r="A79" s="13">
        <v>6</v>
      </c>
      <c r="B79" s="13" t="str">
        <f t="shared" si="1"/>
        <v>Mantenimiento y Cuidado</v>
      </c>
      <c r="C79" s="13" t="s">
        <v>346</v>
      </c>
      <c r="D79" t="s">
        <v>227</v>
      </c>
    </row>
    <row r="80" spans="1:4" x14ac:dyDescent="0.3">
      <c r="A80" s="13">
        <v>6</v>
      </c>
      <c r="B80" s="13" t="str">
        <f t="shared" si="1"/>
        <v>Mantenimiento y Cuidado</v>
      </c>
      <c r="C80" s="13" t="s">
        <v>346</v>
      </c>
      <c r="D80" t="s">
        <v>228</v>
      </c>
    </row>
    <row r="81" spans="1:4" x14ac:dyDescent="0.3">
      <c r="A81" s="13">
        <v>6</v>
      </c>
      <c r="B81" s="13" t="str">
        <f t="shared" si="1"/>
        <v>Mantenimiento y Cuidado</v>
      </c>
      <c r="C81" s="13" t="s">
        <v>346</v>
      </c>
      <c r="D81" t="s">
        <v>229</v>
      </c>
    </row>
    <row r="82" spans="1:4" x14ac:dyDescent="0.3">
      <c r="A82" s="13">
        <v>6</v>
      </c>
      <c r="B82" s="13" t="str">
        <f t="shared" si="1"/>
        <v>Mantenimiento y Cuidado</v>
      </c>
      <c r="C82" s="13" t="s">
        <v>346</v>
      </c>
      <c r="D82" t="s">
        <v>230</v>
      </c>
    </row>
    <row r="83" spans="1:4" x14ac:dyDescent="0.3">
      <c r="A83" s="13">
        <v>6</v>
      </c>
      <c r="B83" s="13" t="str">
        <f t="shared" si="1"/>
        <v>Mantenimiento y Cuidado</v>
      </c>
      <c r="C83" s="13" t="s">
        <v>346</v>
      </c>
      <c r="D83" t="s">
        <v>231</v>
      </c>
    </row>
    <row r="84" spans="1:4" x14ac:dyDescent="0.3">
      <c r="A84" s="13">
        <v>6</v>
      </c>
      <c r="B84" s="13" t="str">
        <f t="shared" si="1"/>
        <v>Mantenimiento y Cuidado</v>
      </c>
      <c r="C84" s="13" t="s">
        <v>346</v>
      </c>
      <c r="D84" t="s">
        <v>232</v>
      </c>
    </row>
    <row r="85" spans="1:4" x14ac:dyDescent="0.3">
      <c r="A85" s="13">
        <v>6</v>
      </c>
      <c r="B85" s="13" t="str">
        <f t="shared" si="1"/>
        <v>Mantenimiento y Cuidado</v>
      </c>
      <c r="C85" s="13" t="s">
        <v>346</v>
      </c>
      <c r="D85" s="13" t="s">
        <v>233</v>
      </c>
    </row>
    <row r="86" spans="1:4" x14ac:dyDescent="0.3">
      <c r="A86" s="13">
        <v>6</v>
      </c>
      <c r="B86" s="13" t="str">
        <f t="shared" si="1"/>
        <v>Mantenimiento y Cuidado</v>
      </c>
      <c r="C86" s="13" t="s">
        <v>346</v>
      </c>
      <c r="D86" t="s">
        <v>234</v>
      </c>
    </row>
    <row r="87" spans="1:4" x14ac:dyDescent="0.3">
      <c r="A87" s="13">
        <v>6</v>
      </c>
      <c r="B87" s="13" t="str">
        <f t="shared" si="1"/>
        <v>Mantenimiento y Cuidado</v>
      </c>
      <c r="C87" s="13" t="s">
        <v>346</v>
      </c>
      <c r="D87" s="13" t="s">
        <v>235</v>
      </c>
    </row>
    <row r="88" spans="1:4" x14ac:dyDescent="0.3">
      <c r="A88" s="13">
        <v>6</v>
      </c>
      <c r="B88" s="13" t="str">
        <f t="shared" si="1"/>
        <v>Mantenimiento y Cuidado</v>
      </c>
      <c r="C88" s="13" t="s">
        <v>346</v>
      </c>
      <c r="D88" t="s">
        <v>236</v>
      </c>
    </row>
    <row r="89" spans="1:4" ht="39.9" customHeight="1" x14ac:dyDescent="0.3">
      <c r="A89" s="13"/>
      <c r="B89" s="13"/>
      <c r="C89" s="13"/>
      <c r="D89" s="13" t="s">
        <v>246</v>
      </c>
    </row>
    <row r="90" spans="1:4" x14ac:dyDescent="0.3">
      <c r="A90" s="13">
        <v>7</v>
      </c>
      <c r="B90" s="13" t="str">
        <f t="shared" si="1"/>
        <v>Carrocería</v>
      </c>
      <c r="C90" s="13" t="s">
        <v>347</v>
      </c>
      <c r="D90" s="13" t="s">
        <v>238</v>
      </c>
    </row>
    <row r="91" spans="1:4" x14ac:dyDescent="0.3">
      <c r="A91" s="13">
        <v>7</v>
      </c>
      <c r="B91" s="13" t="str">
        <f t="shared" si="1"/>
        <v>Carrocería</v>
      </c>
      <c r="C91" s="13" t="s">
        <v>347</v>
      </c>
      <c r="D91" s="13" t="s">
        <v>239</v>
      </c>
    </row>
    <row r="92" spans="1:4" x14ac:dyDescent="0.3">
      <c r="A92" s="13">
        <v>7</v>
      </c>
      <c r="B92" s="13" t="str">
        <f t="shared" si="1"/>
        <v>Carrocería</v>
      </c>
      <c r="C92" s="13" t="s">
        <v>347</v>
      </c>
      <c r="D92" s="13" t="s">
        <v>240</v>
      </c>
    </row>
    <row r="93" spans="1:4" x14ac:dyDescent="0.3">
      <c r="A93" s="13">
        <v>7</v>
      </c>
      <c r="B93" s="13" t="str">
        <f t="shared" si="1"/>
        <v>Carrocería</v>
      </c>
      <c r="C93" s="13" t="s">
        <v>347</v>
      </c>
      <c r="D93" s="13" t="s">
        <v>241</v>
      </c>
    </row>
    <row r="94" spans="1:4" x14ac:dyDescent="0.3">
      <c r="A94" s="13">
        <v>7</v>
      </c>
      <c r="B94" s="13" t="str">
        <f t="shared" si="1"/>
        <v>Carrocería</v>
      </c>
      <c r="C94" s="13" t="s">
        <v>347</v>
      </c>
      <c r="D94" s="13" t="s">
        <v>332</v>
      </c>
    </row>
    <row r="95" spans="1:4" ht="13.5" customHeight="1" x14ac:dyDescent="0.3">
      <c r="A95" s="13">
        <v>7</v>
      </c>
      <c r="B95" s="13" t="str">
        <f t="shared" si="1"/>
        <v>Carrocería</v>
      </c>
      <c r="C95" s="13" t="s">
        <v>347</v>
      </c>
      <c r="D95" s="13" t="s">
        <v>333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9B6DB-3394-4991-9A8D-9EDFF6536E9A}">
  <dimension ref="A1:AZ144"/>
  <sheetViews>
    <sheetView tabSelected="1" zoomScale="85" zoomScaleNormal="85" workbookViewId="0">
      <pane xSplit="8" ySplit="2" topLeftCell="I3" activePane="bottomRight" state="frozen"/>
      <selection activeCell="F1" sqref="F1"/>
      <selection pane="topRight" activeCell="I1" sqref="I1"/>
      <selection pane="bottomLeft" activeCell="F3" sqref="F3"/>
      <selection pane="bottomRight" activeCell="K1" sqref="K1:S1048576"/>
    </sheetView>
  </sheetViews>
  <sheetFormatPr baseColWidth="10" defaultColWidth="8.88671875" defaultRowHeight="14.4" x14ac:dyDescent="0.3"/>
  <cols>
    <col min="1" max="3" width="11" style="132" hidden="1" customWidth="1"/>
    <col min="4" max="4" width="24" style="132" hidden="1" customWidth="1"/>
    <col min="5" max="5" width="11" style="132" hidden="1" customWidth="1"/>
    <col min="6" max="7" width="11.6640625" style="132" hidden="1" customWidth="1"/>
    <col min="8" max="8" width="40.88671875" style="132" customWidth="1"/>
    <col min="9" max="9" width="42.6640625" style="132" customWidth="1"/>
    <col min="10" max="11" width="22.5546875" style="140" customWidth="1"/>
    <col min="12" max="12" width="10.33203125" style="138" hidden="1" customWidth="1"/>
    <col min="13" max="13" width="13.33203125" style="138" hidden="1" customWidth="1"/>
    <col min="14" max="14" width="15.44140625" style="138" hidden="1" customWidth="1"/>
    <col min="15" max="15" width="15.6640625" style="138" hidden="1" customWidth="1"/>
    <col min="16" max="16" width="17.6640625" style="138" hidden="1" customWidth="1"/>
    <col min="17" max="17" width="14.5546875" style="138" hidden="1" customWidth="1"/>
    <col min="18" max="18" width="24.109375" style="138" hidden="1" customWidth="1"/>
    <col min="19" max="19" width="30.5546875" style="138" customWidth="1"/>
    <col min="20" max="20" width="17.6640625" style="138" hidden="1" customWidth="1"/>
    <col min="21" max="21" width="20.5546875" style="138" hidden="1" customWidth="1"/>
    <col min="22" max="22" width="28.6640625" style="138" hidden="1" customWidth="1"/>
    <col min="23" max="24" width="30.6640625" style="138" hidden="1" customWidth="1"/>
    <col min="25" max="25" width="17.6640625" style="17" hidden="1" customWidth="1"/>
    <col min="26" max="28" width="24.6640625" style="132" hidden="1" customWidth="1"/>
    <col min="29" max="31" width="23.5546875" style="132" hidden="1" customWidth="1"/>
    <col min="32" max="32" width="12" style="132" hidden="1" customWidth="1"/>
    <col min="33" max="33" width="14.109375" style="132" hidden="1" customWidth="1"/>
    <col min="34" max="34" width="27.44140625" style="132" hidden="1" customWidth="1"/>
    <col min="35" max="44" width="15.6640625" style="132" hidden="1" customWidth="1"/>
    <col min="45" max="45" width="20.5546875" style="132" bestFit="1" customWidth="1"/>
    <col min="46" max="47" width="15.6640625" style="132" customWidth="1"/>
    <col min="48" max="51" width="8.88671875" style="132" customWidth="1"/>
    <col min="52" max="52" width="8.88671875" style="133" customWidth="1"/>
    <col min="53" max="53" width="8.88671875" style="132" customWidth="1"/>
    <col min="54" max="16384" width="8.88671875" style="132"/>
  </cols>
  <sheetData>
    <row r="1" spans="1:45" x14ac:dyDescent="0.3">
      <c r="A1" s="132">
        <v>1</v>
      </c>
      <c r="B1" s="132">
        <v>2</v>
      </c>
      <c r="E1" s="132">
        <v>3</v>
      </c>
      <c r="F1" s="132">
        <v>4</v>
      </c>
      <c r="G1" s="132">
        <v>5</v>
      </c>
      <c r="H1" s="132">
        <v>6</v>
      </c>
      <c r="I1" s="132">
        <v>7</v>
      </c>
      <c r="J1" s="140">
        <v>8</v>
      </c>
      <c r="K1" s="140">
        <v>9</v>
      </c>
      <c r="L1" s="132">
        <v>10</v>
      </c>
      <c r="M1" s="132">
        <v>11</v>
      </c>
      <c r="N1" s="132">
        <v>12</v>
      </c>
      <c r="O1" s="132">
        <v>13</v>
      </c>
      <c r="P1" s="132">
        <v>14</v>
      </c>
      <c r="Q1" s="132">
        <v>15</v>
      </c>
      <c r="R1" s="132">
        <v>16</v>
      </c>
      <c r="S1" s="132">
        <v>17</v>
      </c>
      <c r="T1" s="132">
        <v>18</v>
      </c>
      <c r="U1" s="132">
        <v>19</v>
      </c>
      <c r="V1" s="132">
        <v>20</v>
      </c>
      <c r="W1" s="132">
        <v>21</v>
      </c>
      <c r="X1" s="132">
        <v>22</v>
      </c>
      <c r="Y1" s="132">
        <v>23</v>
      </c>
      <c r="Z1" s="132">
        <v>24</v>
      </c>
      <c r="AB1" s="132">
        <v>25</v>
      </c>
      <c r="AC1" s="132">
        <v>26</v>
      </c>
      <c r="AD1" s="132">
        <v>27</v>
      </c>
      <c r="AE1" s="132">
        <v>28</v>
      </c>
      <c r="AF1" s="132">
        <v>29</v>
      </c>
      <c r="AG1" s="132">
        <v>30</v>
      </c>
      <c r="AH1" s="132">
        <v>31</v>
      </c>
      <c r="AI1" s="132">
        <v>32</v>
      </c>
      <c r="AJ1" s="132">
        <v>33</v>
      </c>
      <c r="AK1" s="132">
        <v>34</v>
      </c>
      <c r="AL1" s="132">
        <v>35</v>
      </c>
      <c r="AM1" s="132">
        <v>36</v>
      </c>
    </row>
    <row r="2" spans="1:45" x14ac:dyDescent="0.3">
      <c r="A2" s="134" t="s">
        <v>5</v>
      </c>
      <c r="B2" s="134" t="s">
        <v>78</v>
      </c>
      <c r="C2" s="134" t="s">
        <v>312</v>
      </c>
      <c r="D2" s="134"/>
      <c r="E2" s="134" t="s">
        <v>75</v>
      </c>
      <c r="F2" s="134" t="s">
        <v>6</v>
      </c>
      <c r="G2" s="134"/>
      <c r="H2" s="134" t="s">
        <v>167</v>
      </c>
      <c r="I2" s="134" t="s">
        <v>166</v>
      </c>
      <c r="J2" s="141" t="str">
        <f t="shared" ref="J2:K40" si="0">F2</f>
        <v>referencia</v>
      </c>
      <c r="K2" s="141">
        <f t="shared" si="0"/>
        <v>0</v>
      </c>
      <c r="L2" s="135" t="s">
        <v>9</v>
      </c>
      <c r="M2" s="135" t="s">
        <v>165</v>
      </c>
      <c r="N2" s="135" t="s">
        <v>164</v>
      </c>
      <c r="O2" s="135" t="s">
        <v>16</v>
      </c>
      <c r="P2" s="135" t="s">
        <v>17</v>
      </c>
      <c r="Q2" s="135" t="s">
        <v>14</v>
      </c>
      <c r="R2" s="135" t="s">
        <v>10</v>
      </c>
      <c r="S2" s="135" t="s">
        <v>163</v>
      </c>
      <c r="T2" s="135" t="s">
        <v>11</v>
      </c>
      <c r="U2" s="136" t="s">
        <v>242</v>
      </c>
      <c r="V2" s="135" t="s">
        <v>243</v>
      </c>
      <c r="W2" s="135" t="s">
        <v>244</v>
      </c>
      <c r="X2" s="135" t="s">
        <v>245</v>
      </c>
      <c r="Y2" s="15"/>
      <c r="Z2" s="134" t="s">
        <v>8</v>
      </c>
      <c r="AA2" s="135" t="s">
        <v>252</v>
      </c>
      <c r="AB2" s="135" t="s">
        <v>248</v>
      </c>
      <c r="AC2" s="134" t="s">
        <v>7</v>
      </c>
      <c r="AD2" s="134" t="s">
        <v>249</v>
      </c>
      <c r="AE2" s="134" t="s">
        <v>23</v>
      </c>
      <c r="AF2" s="135" t="s">
        <v>24</v>
      </c>
      <c r="AG2" s="135" t="s">
        <v>25</v>
      </c>
      <c r="AH2" s="134" t="s">
        <v>12</v>
      </c>
      <c r="AI2" s="134" t="s">
        <v>13</v>
      </c>
      <c r="AJ2" s="134" t="s">
        <v>55</v>
      </c>
      <c r="AK2" s="134" t="s">
        <v>54</v>
      </c>
      <c r="AL2" s="134" t="s">
        <v>22</v>
      </c>
      <c r="AM2" s="134" t="s">
        <v>27</v>
      </c>
      <c r="AS2" s="132" t="s">
        <v>351</v>
      </c>
    </row>
    <row r="3" spans="1:45" x14ac:dyDescent="0.3">
      <c r="A3" s="137" t="s">
        <v>3</v>
      </c>
      <c r="B3" s="134" t="s">
        <v>132</v>
      </c>
      <c r="C3" s="134">
        <v>1</v>
      </c>
      <c r="D3" s="134" t="str">
        <f>IF(C3=1,"Motor y Transmisión",IF(C3=2,"Refrigeración",IF(C3=3,"Climatización",IF(C3=4,"Sistema de Combustión",IF(C3=5,"Frenos",IF(C3=6,"Mantenimiento y Cuidado",IF(C3=7,"Carrocería","")))))))</f>
        <v>Motor y Transmisión</v>
      </c>
      <c r="E3" s="134">
        <v>1</v>
      </c>
      <c r="F3" s="134" t="s">
        <v>20</v>
      </c>
      <c r="G3" s="134">
        <f t="shared" ref="G3:G19" si="1">AE3*1000</f>
        <v>300</v>
      </c>
      <c r="H3" s="134" t="s">
        <v>133</v>
      </c>
      <c r="I3" s="134" t="s">
        <v>168</v>
      </c>
      <c r="J3" s="141" t="str">
        <f t="shared" si="0"/>
        <v>2010 SF</v>
      </c>
      <c r="K3" s="141">
        <f t="shared" si="0"/>
        <v>300</v>
      </c>
      <c r="L3" s="138">
        <v>2.95</v>
      </c>
      <c r="M3" s="138">
        <v>0.3</v>
      </c>
      <c r="N3" s="138">
        <v>0</v>
      </c>
      <c r="O3" s="138">
        <v>0.3</v>
      </c>
      <c r="P3" s="138">
        <v>0.3</v>
      </c>
      <c r="Q3" s="138">
        <f t="shared" ref="Q3:Q66" si="2">+L3+M3+N3+O3+P3</f>
        <v>3.8499999999999996</v>
      </c>
      <c r="R3" s="138">
        <v>9.35</v>
      </c>
      <c r="S3" s="138">
        <f>ROUND(R3*1.1,2)</f>
        <v>10.29</v>
      </c>
      <c r="T3" s="138">
        <v>16.850000000000001</v>
      </c>
      <c r="U3" s="138">
        <f>R3-Q3</f>
        <v>5.5</v>
      </c>
      <c r="V3" s="138">
        <f t="shared" ref="V3:V66" si="3">U3*0.6</f>
        <v>3.3</v>
      </c>
      <c r="W3" s="138">
        <f t="shared" ref="W3:W66" si="4">U3*0.4</f>
        <v>2.2000000000000002</v>
      </c>
      <c r="Z3" s="132">
        <v>1</v>
      </c>
      <c r="AA3" s="132">
        <f t="shared" ref="AA3:AA66" si="5">INT(AC3/3)</f>
        <v>8</v>
      </c>
      <c r="AB3" s="132">
        <v>5</v>
      </c>
      <c r="AC3" s="132">
        <v>24</v>
      </c>
      <c r="AD3" s="132">
        <f t="shared" ref="AD3:AD66" si="6">IF(AC3=24,15,IF(AC3=12,10,0))</f>
        <v>15</v>
      </c>
      <c r="AE3" s="132">
        <v>0.3</v>
      </c>
      <c r="AF3" s="132">
        <f t="shared" ref="AF3:AF66" si="7">AE3*1.1</f>
        <v>0.33</v>
      </c>
      <c r="AG3" s="132">
        <f t="shared" ref="AG3:AG66" si="8">AF3*AC3</f>
        <v>7.92</v>
      </c>
      <c r="AI3" s="132">
        <v>1</v>
      </c>
      <c r="AK3" s="132">
        <v>2</v>
      </c>
      <c r="AS3" s="132">
        <f>ROUND(S3*1.21,2)</f>
        <v>12.45</v>
      </c>
    </row>
    <row r="4" spans="1:45" x14ac:dyDescent="0.3">
      <c r="A4" s="137" t="s">
        <v>3</v>
      </c>
      <c r="B4" s="134" t="s">
        <v>132</v>
      </c>
      <c r="C4" s="134">
        <v>1</v>
      </c>
      <c r="D4" s="134" t="str">
        <f t="shared" ref="D4:D67" si="9">IF(C4=1,"Motor y Transmisión",IF(C4=2,"Refrigeración",IF(C4=3,"Climatización",IF(C4=4,"Sistema de Combustión",IF(C4=5,"Frenos",IF(C4=6,"Mantenimiento y Cuidado",IF(C4=7,"Carrocería","")))))))</f>
        <v>Motor y Transmisión</v>
      </c>
      <c r="E4" s="134">
        <v>1</v>
      </c>
      <c r="F4" s="134">
        <v>2110</v>
      </c>
      <c r="G4" s="134">
        <f t="shared" si="1"/>
        <v>300</v>
      </c>
      <c r="H4" s="134" t="s">
        <v>26</v>
      </c>
      <c r="I4" s="134" t="s">
        <v>171</v>
      </c>
      <c r="J4" s="141">
        <f t="shared" si="0"/>
        <v>2110</v>
      </c>
      <c r="K4" s="141">
        <f t="shared" si="0"/>
        <v>300</v>
      </c>
      <c r="L4" s="138">
        <v>4.78</v>
      </c>
      <c r="M4" s="138">
        <v>0.3</v>
      </c>
      <c r="N4" s="138">
        <v>0</v>
      </c>
      <c r="O4" s="138">
        <v>0.3</v>
      </c>
      <c r="P4" s="138">
        <v>0.3</v>
      </c>
      <c r="Q4" s="138">
        <f t="shared" si="2"/>
        <v>5.68</v>
      </c>
      <c r="R4" s="138">
        <v>12.85</v>
      </c>
      <c r="S4" s="138">
        <f t="shared" ref="S4:S67" si="10">ROUND(R4*1.1,2)</f>
        <v>14.14</v>
      </c>
      <c r="T4" s="138">
        <v>21.35</v>
      </c>
      <c r="U4" s="138">
        <f t="shared" ref="U4:U67" si="11">R4-Q4</f>
        <v>7.17</v>
      </c>
      <c r="V4" s="138">
        <f t="shared" si="3"/>
        <v>4.3019999999999996</v>
      </c>
      <c r="W4" s="138">
        <f t="shared" si="4"/>
        <v>2.8680000000000003</v>
      </c>
      <c r="Z4" s="132">
        <v>1</v>
      </c>
      <c r="AA4" s="132">
        <f t="shared" si="5"/>
        <v>8</v>
      </c>
      <c r="AB4" s="132">
        <v>5</v>
      </c>
      <c r="AC4" s="132">
        <v>24</v>
      </c>
      <c r="AD4" s="132">
        <f t="shared" si="6"/>
        <v>15</v>
      </c>
      <c r="AE4" s="132">
        <v>0.3</v>
      </c>
      <c r="AF4" s="132">
        <f t="shared" si="7"/>
        <v>0.33</v>
      </c>
      <c r="AG4" s="132">
        <f t="shared" si="8"/>
        <v>7.92</v>
      </c>
      <c r="AI4" s="132">
        <v>2</v>
      </c>
      <c r="AK4" s="132">
        <v>2</v>
      </c>
      <c r="AS4" s="132">
        <f t="shared" ref="AS4:AS67" si="12">ROUND(S4*1.21,2)</f>
        <v>17.11</v>
      </c>
    </row>
    <row r="5" spans="1:45" x14ac:dyDescent="0.3">
      <c r="A5" s="137" t="s">
        <v>3</v>
      </c>
      <c r="B5" s="134" t="s">
        <v>132</v>
      </c>
      <c r="C5" s="134">
        <v>1</v>
      </c>
      <c r="D5" s="134" t="str">
        <f t="shared" si="9"/>
        <v>Motor y Transmisión</v>
      </c>
      <c r="E5" s="134">
        <v>1</v>
      </c>
      <c r="F5" s="134">
        <v>2011</v>
      </c>
      <c r="G5" s="134">
        <f t="shared" si="1"/>
        <v>400</v>
      </c>
      <c r="H5" s="134" t="s">
        <v>28</v>
      </c>
      <c r="I5" s="134" t="s">
        <v>324</v>
      </c>
      <c r="J5" s="141">
        <f t="shared" si="0"/>
        <v>2011</v>
      </c>
      <c r="K5" s="141">
        <f t="shared" si="0"/>
        <v>400</v>
      </c>
      <c r="L5" s="138">
        <v>3.3</v>
      </c>
      <c r="M5" s="138">
        <v>0.3</v>
      </c>
      <c r="N5" s="138">
        <v>0</v>
      </c>
      <c r="O5" s="138">
        <v>0.3</v>
      </c>
      <c r="P5" s="138">
        <v>0.3</v>
      </c>
      <c r="Q5" s="138">
        <f t="shared" si="2"/>
        <v>4.1999999999999993</v>
      </c>
      <c r="R5" s="138">
        <v>9.6999999999999993</v>
      </c>
      <c r="S5" s="138">
        <f t="shared" si="10"/>
        <v>10.67</v>
      </c>
      <c r="T5" s="138">
        <v>14.4</v>
      </c>
      <c r="U5" s="138">
        <f t="shared" si="11"/>
        <v>5.5</v>
      </c>
      <c r="V5" s="138">
        <f t="shared" si="3"/>
        <v>3.3</v>
      </c>
      <c r="W5" s="138">
        <f t="shared" si="4"/>
        <v>2.2000000000000002</v>
      </c>
      <c r="Z5" s="132">
        <v>1</v>
      </c>
      <c r="AA5" s="132">
        <f t="shared" si="5"/>
        <v>8</v>
      </c>
      <c r="AB5" s="132">
        <v>5</v>
      </c>
      <c r="AC5" s="132">
        <v>24</v>
      </c>
      <c r="AD5" s="132">
        <f t="shared" si="6"/>
        <v>15</v>
      </c>
      <c r="AE5" s="132">
        <v>0.4</v>
      </c>
      <c r="AF5" s="132">
        <f t="shared" si="7"/>
        <v>0.44000000000000006</v>
      </c>
      <c r="AG5" s="132">
        <f t="shared" si="8"/>
        <v>10.560000000000002</v>
      </c>
      <c r="AI5" s="132">
        <v>3</v>
      </c>
      <c r="AK5" s="132">
        <v>2</v>
      </c>
      <c r="AS5" s="132">
        <f t="shared" si="12"/>
        <v>12.91</v>
      </c>
    </row>
    <row r="6" spans="1:45" x14ac:dyDescent="0.3">
      <c r="A6" s="137" t="s">
        <v>3</v>
      </c>
      <c r="B6" s="134" t="s">
        <v>132</v>
      </c>
      <c r="C6" s="134">
        <v>1</v>
      </c>
      <c r="D6" s="134" t="str">
        <f t="shared" si="9"/>
        <v>Motor y Transmisión</v>
      </c>
      <c r="E6" s="134">
        <v>1</v>
      </c>
      <c r="F6" s="134" t="s">
        <v>74</v>
      </c>
      <c r="G6" s="134">
        <f t="shared" si="1"/>
        <v>300</v>
      </c>
      <c r="H6" s="134" t="s">
        <v>28</v>
      </c>
      <c r="I6" s="134" t="s">
        <v>325</v>
      </c>
      <c r="J6" s="141" t="str">
        <f t="shared" si="0"/>
        <v>2011-300</v>
      </c>
      <c r="K6" s="141">
        <f t="shared" si="0"/>
        <v>300</v>
      </c>
      <c r="L6" s="138">
        <v>2.8</v>
      </c>
      <c r="M6" s="138">
        <v>0.3</v>
      </c>
      <c r="N6" s="138">
        <v>0</v>
      </c>
      <c r="O6" s="138">
        <v>0.3</v>
      </c>
      <c r="P6" s="138">
        <v>0.3</v>
      </c>
      <c r="Q6" s="138">
        <f t="shared" si="2"/>
        <v>3.6999999999999993</v>
      </c>
      <c r="R6" s="138">
        <v>7.5</v>
      </c>
      <c r="S6" s="138">
        <f t="shared" si="10"/>
        <v>8.25</v>
      </c>
      <c r="T6" s="138">
        <v>13.45</v>
      </c>
      <c r="U6" s="138">
        <f t="shared" si="11"/>
        <v>3.8000000000000007</v>
      </c>
      <c r="V6" s="138">
        <f t="shared" si="3"/>
        <v>2.2800000000000002</v>
      </c>
      <c r="W6" s="138">
        <f t="shared" si="4"/>
        <v>1.5200000000000005</v>
      </c>
      <c r="Z6" s="132">
        <v>1</v>
      </c>
      <c r="AA6" s="132">
        <f t="shared" si="5"/>
        <v>8</v>
      </c>
      <c r="AB6" s="132">
        <v>5</v>
      </c>
      <c r="AC6" s="132">
        <v>24</v>
      </c>
      <c r="AD6" s="132">
        <f t="shared" si="6"/>
        <v>15</v>
      </c>
      <c r="AE6" s="132">
        <v>0.3</v>
      </c>
      <c r="AF6" s="132">
        <f t="shared" si="7"/>
        <v>0.33</v>
      </c>
      <c r="AG6" s="132">
        <f t="shared" si="8"/>
        <v>7.92</v>
      </c>
      <c r="AS6" s="132">
        <f t="shared" si="12"/>
        <v>9.98</v>
      </c>
    </row>
    <row r="7" spans="1:45" x14ac:dyDescent="0.3">
      <c r="A7" s="137" t="s">
        <v>3</v>
      </c>
      <c r="B7" s="134" t="s">
        <v>132</v>
      </c>
      <c r="C7" s="134">
        <v>1</v>
      </c>
      <c r="D7" s="134" t="str">
        <f t="shared" si="9"/>
        <v>Motor y Transmisión</v>
      </c>
      <c r="E7" s="134">
        <v>1</v>
      </c>
      <c r="F7" s="134">
        <v>2111</v>
      </c>
      <c r="G7" s="134">
        <f t="shared" si="1"/>
        <v>300</v>
      </c>
      <c r="H7" s="134" t="s">
        <v>29</v>
      </c>
      <c r="I7" s="134" t="s">
        <v>172</v>
      </c>
      <c r="J7" s="141">
        <f t="shared" si="0"/>
        <v>2111</v>
      </c>
      <c r="K7" s="141">
        <f t="shared" si="0"/>
        <v>300</v>
      </c>
      <c r="L7" s="138">
        <v>3.95</v>
      </c>
      <c r="M7" s="138">
        <v>0.3</v>
      </c>
      <c r="N7" s="138">
        <v>0</v>
      </c>
      <c r="O7" s="138">
        <v>0.3</v>
      </c>
      <c r="P7" s="138">
        <v>0.3</v>
      </c>
      <c r="Q7" s="138">
        <f t="shared" si="2"/>
        <v>4.8499999999999996</v>
      </c>
      <c r="R7" s="138">
        <v>10.050000000000001</v>
      </c>
      <c r="S7" s="138">
        <f t="shared" si="10"/>
        <v>11.06</v>
      </c>
      <c r="T7" s="138">
        <v>18.100000000000001</v>
      </c>
      <c r="U7" s="138">
        <f t="shared" si="11"/>
        <v>5.2000000000000011</v>
      </c>
      <c r="V7" s="138">
        <f t="shared" si="3"/>
        <v>3.1200000000000006</v>
      </c>
      <c r="W7" s="138">
        <f t="shared" si="4"/>
        <v>2.0800000000000005</v>
      </c>
      <c r="Z7" s="132">
        <v>1</v>
      </c>
      <c r="AA7" s="132">
        <f t="shared" si="5"/>
        <v>8</v>
      </c>
      <c r="AB7" s="132">
        <v>5</v>
      </c>
      <c r="AC7" s="132">
        <v>24</v>
      </c>
      <c r="AD7" s="132">
        <f t="shared" si="6"/>
        <v>15</v>
      </c>
      <c r="AE7" s="132">
        <v>0.3</v>
      </c>
      <c r="AF7" s="132">
        <f t="shared" si="7"/>
        <v>0.33</v>
      </c>
      <c r="AG7" s="132">
        <f t="shared" si="8"/>
        <v>7.92</v>
      </c>
      <c r="AI7" s="132">
        <v>4</v>
      </c>
      <c r="AK7" s="132">
        <v>2</v>
      </c>
      <c r="AS7" s="132">
        <f t="shared" si="12"/>
        <v>13.38</v>
      </c>
    </row>
    <row r="8" spans="1:45" x14ac:dyDescent="0.3">
      <c r="A8" s="137" t="s">
        <v>3</v>
      </c>
      <c r="B8" s="134" t="s">
        <v>132</v>
      </c>
      <c r="C8" s="134">
        <v>1</v>
      </c>
      <c r="D8" s="134" t="str">
        <f t="shared" si="9"/>
        <v>Motor y Transmisión</v>
      </c>
      <c r="E8" s="134">
        <v>1</v>
      </c>
      <c r="F8" s="134">
        <v>2012</v>
      </c>
      <c r="G8" s="134">
        <f t="shared" si="1"/>
        <v>100</v>
      </c>
      <c r="H8" s="134" t="s">
        <v>30</v>
      </c>
      <c r="I8" s="134" t="s">
        <v>173</v>
      </c>
      <c r="J8" s="141">
        <f t="shared" si="0"/>
        <v>2012</v>
      </c>
      <c r="K8" s="141">
        <f t="shared" si="0"/>
        <v>100</v>
      </c>
      <c r="L8" s="138">
        <v>3.85</v>
      </c>
      <c r="M8" s="138">
        <v>0.3</v>
      </c>
      <c r="N8" s="138">
        <v>0</v>
      </c>
      <c r="O8" s="138">
        <v>0.3</v>
      </c>
      <c r="P8" s="138">
        <v>0.3</v>
      </c>
      <c r="Q8" s="138">
        <f t="shared" si="2"/>
        <v>4.75</v>
      </c>
      <c r="R8" s="138">
        <v>8.9499999999999993</v>
      </c>
      <c r="S8" s="138">
        <f t="shared" si="10"/>
        <v>9.85</v>
      </c>
      <c r="T8" s="138">
        <v>14.8</v>
      </c>
      <c r="U8" s="138">
        <f t="shared" si="11"/>
        <v>4.1999999999999993</v>
      </c>
      <c r="V8" s="138">
        <f t="shared" si="3"/>
        <v>2.5199999999999996</v>
      </c>
      <c r="W8" s="138">
        <f t="shared" si="4"/>
        <v>1.6799999999999997</v>
      </c>
      <c r="Z8" s="132">
        <v>1</v>
      </c>
      <c r="AA8" s="132">
        <f t="shared" si="5"/>
        <v>8</v>
      </c>
      <c r="AB8" s="132">
        <v>5</v>
      </c>
      <c r="AC8" s="132">
        <v>24</v>
      </c>
      <c r="AD8" s="132">
        <f t="shared" si="6"/>
        <v>15</v>
      </c>
      <c r="AE8" s="132">
        <v>0.1</v>
      </c>
      <c r="AF8" s="132">
        <f t="shared" si="7"/>
        <v>0.11000000000000001</v>
      </c>
      <c r="AG8" s="132">
        <f t="shared" si="8"/>
        <v>2.6400000000000006</v>
      </c>
      <c r="AI8" s="132">
        <v>5</v>
      </c>
      <c r="AS8" s="132">
        <f t="shared" si="12"/>
        <v>11.92</v>
      </c>
    </row>
    <row r="9" spans="1:45" x14ac:dyDescent="0.3">
      <c r="A9" s="137" t="s">
        <v>3</v>
      </c>
      <c r="B9" s="134" t="s">
        <v>132</v>
      </c>
      <c r="C9" s="134">
        <v>1</v>
      </c>
      <c r="D9" s="134" t="str">
        <f t="shared" si="9"/>
        <v>Motor y Transmisión</v>
      </c>
      <c r="E9" s="134">
        <v>1</v>
      </c>
      <c r="F9" s="134">
        <v>2013</v>
      </c>
      <c r="G9" s="134">
        <f t="shared" si="1"/>
        <v>300</v>
      </c>
      <c r="H9" s="134" t="s">
        <v>31</v>
      </c>
      <c r="I9" s="134" t="s">
        <v>169</v>
      </c>
      <c r="J9" s="141">
        <f t="shared" si="0"/>
        <v>2013</v>
      </c>
      <c r="K9" s="141">
        <f t="shared" si="0"/>
        <v>300</v>
      </c>
      <c r="L9" s="138">
        <v>3.9</v>
      </c>
      <c r="M9" s="138">
        <v>0.3</v>
      </c>
      <c r="N9" s="138">
        <v>0</v>
      </c>
      <c r="O9" s="138">
        <v>0.3</v>
      </c>
      <c r="P9" s="138">
        <v>0.3</v>
      </c>
      <c r="Q9" s="138">
        <f t="shared" si="2"/>
        <v>4.8</v>
      </c>
      <c r="R9" s="138">
        <v>11.3</v>
      </c>
      <c r="S9" s="138">
        <f t="shared" si="10"/>
        <v>12.43</v>
      </c>
      <c r="T9" s="138">
        <v>18.100000000000001</v>
      </c>
      <c r="U9" s="138">
        <f t="shared" si="11"/>
        <v>6.5000000000000009</v>
      </c>
      <c r="V9" s="138">
        <f t="shared" si="3"/>
        <v>3.9000000000000004</v>
      </c>
      <c r="W9" s="138">
        <f t="shared" si="4"/>
        <v>2.6000000000000005</v>
      </c>
      <c r="Z9" s="132">
        <v>1</v>
      </c>
      <c r="AA9" s="132">
        <f t="shared" si="5"/>
        <v>8</v>
      </c>
      <c r="AB9" s="132">
        <v>5</v>
      </c>
      <c r="AC9" s="132">
        <v>24</v>
      </c>
      <c r="AD9" s="132">
        <f t="shared" si="6"/>
        <v>15</v>
      </c>
      <c r="AE9" s="132">
        <v>0.3</v>
      </c>
      <c r="AF9" s="132">
        <f t="shared" si="7"/>
        <v>0.33</v>
      </c>
      <c r="AG9" s="132">
        <f t="shared" si="8"/>
        <v>7.92</v>
      </c>
      <c r="AI9" s="132">
        <v>6</v>
      </c>
      <c r="AS9" s="132">
        <f t="shared" si="12"/>
        <v>15.04</v>
      </c>
    </row>
    <row r="10" spans="1:45" x14ac:dyDescent="0.3">
      <c r="A10" s="137" t="s">
        <v>3</v>
      </c>
      <c r="B10" s="134" t="s">
        <v>132</v>
      </c>
      <c r="C10" s="134">
        <v>1</v>
      </c>
      <c r="D10" s="134" t="str">
        <f t="shared" si="9"/>
        <v>Motor y Transmisión</v>
      </c>
      <c r="E10" s="134">
        <v>1</v>
      </c>
      <c r="F10" s="134">
        <v>2014</v>
      </c>
      <c r="G10" s="134">
        <f t="shared" si="1"/>
        <v>300</v>
      </c>
      <c r="H10" s="134" t="s">
        <v>32</v>
      </c>
      <c r="I10" s="134" t="s">
        <v>174</v>
      </c>
      <c r="J10" s="141">
        <f t="shared" si="0"/>
        <v>2014</v>
      </c>
      <c r="K10" s="141">
        <f t="shared" si="0"/>
        <v>300</v>
      </c>
      <c r="L10" s="138">
        <v>4.3</v>
      </c>
      <c r="M10" s="138">
        <v>0.3</v>
      </c>
      <c r="N10" s="138">
        <v>0</v>
      </c>
      <c r="O10" s="138">
        <v>0.3</v>
      </c>
      <c r="P10" s="138">
        <v>0.3</v>
      </c>
      <c r="Q10" s="138">
        <f t="shared" si="2"/>
        <v>5.1999999999999993</v>
      </c>
      <c r="R10" s="138">
        <v>14.5</v>
      </c>
      <c r="S10" s="138">
        <f t="shared" si="10"/>
        <v>15.95</v>
      </c>
      <c r="T10" s="138">
        <v>23</v>
      </c>
      <c r="U10" s="138">
        <f t="shared" si="11"/>
        <v>9.3000000000000007</v>
      </c>
      <c r="V10" s="138">
        <f t="shared" si="3"/>
        <v>5.58</v>
      </c>
      <c r="W10" s="138">
        <f t="shared" si="4"/>
        <v>3.7200000000000006</v>
      </c>
      <c r="Z10" s="132">
        <v>1</v>
      </c>
      <c r="AA10" s="132">
        <f t="shared" si="5"/>
        <v>8</v>
      </c>
      <c r="AB10" s="132">
        <v>5</v>
      </c>
      <c r="AC10" s="132">
        <v>24</v>
      </c>
      <c r="AD10" s="132">
        <f t="shared" si="6"/>
        <v>15</v>
      </c>
      <c r="AE10" s="132">
        <v>0.3</v>
      </c>
      <c r="AF10" s="132">
        <f t="shared" si="7"/>
        <v>0.33</v>
      </c>
      <c r="AG10" s="132">
        <f t="shared" si="8"/>
        <v>7.92</v>
      </c>
      <c r="AI10" s="132">
        <v>7</v>
      </c>
      <c r="AS10" s="132">
        <f t="shared" si="12"/>
        <v>19.3</v>
      </c>
    </row>
    <row r="11" spans="1:45" x14ac:dyDescent="0.3">
      <c r="A11" s="137" t="s">
        <v>3</v>
      </c>
      <c r="B11" s="134" t="s">
        <v>132</v>
      </c>
      <c r="C11" s="134">
        <v>1</v>
      </c>
      <c r="D11" s="134" t="str">
        <f t="shared" si="9"/>
        <v>Motor y Transmisión</v>
      </c>
      <c r="E11" s="134">
        <v>0</v>
      </c>
      <c r="F11" s="134">
        <v>2015</v>
      </c>
      <c r="G11" s="134">
        <f t="shared" si="1"/>
        <v>300</v>
      </c>
      <c r="H11" s="134" t="s">
        <v>33</v>
      </c>
      <c r="I11" s="134" t="s">
        <v>175</v>
      </c>
      <c r="J11" s="141">
        <f t="shared" si="0"/>
        <v>2015</v>
      </c>
      <c r="K11" s="141">
        <f t="shared" si="0"/>
        <v>300</v>
      </c>
      <c r="L11" s="138">
        <v>3.7</v>
      </c>
      <c r="M11" s="138">
        <v>0.3</v>
      </c>
      <c r="N11" s="138">
        <v>0</v>
      </c>
      <c r="O11" s="138">
        <v>0.3</v>
      </c>
      <c r="P11" s="138">
        <v>0.3</v>
      </c>
      <c r="Q11" s="138">
        <f t="shared" si="2"/>
        <v>4.5999999999999996</v>
      </c>
      <c r="R11" s="138">
        <v>11</v>
      </c>
      <c r="S11" s="138">
        <f t="shared" si="10"/>
        <v>12.1</v>
      </c>
      <c r="T11" s="138">
        <v>17.7</v>
      </c>
      <c r="U11" s="138">
        <f t="shared" si="11"/>
        <v>6.4</v>
      </c>
      <c r="V11" s="138">
        <f t="shared" si="3"/>
        <v>3.84</v>
      </c>
      <c r="W11" s="138">
        <f t="shared" si="4"/>
        <v>2.5600000000000005</v>
      </c>
      <c r="Z11" s="132">
        <v>1</v>
      </c>
      <c r="AA11" s="132">
        <f t="shared" si="5"/>
        <v>8</v>
      </c>
      <c r="AB11" s="132">
        <v>5</v>
      </c>
      <c r="AC11" s="132">
        <v>24</v>
      </c>
      <c r="AD11" s="132">
        <f t="shared" si="6"/>
        <v>15</v>
      </c>
      <c r="AE11" s="132">
        <v>0.3</v>
      </c>
      <c r="AF11" s="132">
        <f t="shared" si="7"/>
        <v>0.33</v>
      </c>
      <c r="AG11" s="132">
        <f t="shared" si="8"/>
        <v>7.92</v>
      </c>
      <c r="AI11" s="132">
        <v>8</v>
      </c>
      <c r="AS11" s="132">
        <f t="shared" si="12"/>
        <v>14.64</v>
      </c>
    </row>
    <row r="12" spans="1:45" x14ac:dyDescent="0.3">
      <c r="A12" s="137" t="s">
        <v>3</v>
      </c>
      <c r="B12" s="134" t="s">
        <v>132</v>
      </c>
      <c r="C12" s="134">
        <v>1</v>
      </c>
      <c r="D12" s="134" t="str">
        <f t="shared" si="9"/>
        <v>Motor y Transmisión</v>
      </c>
      <c r="E12" s="134">
        <v>0</v>
      </c>
      <c r="F12" s="134">
        <v>2016</v>
      </c>
      <c r="G12" s="134">
        <f t="shared" si="1"/>
        <v>100</v>
      </c>
      <c r="H12" s="134" t="s">
        <v>34</v>
      </c>
      <c r="I12" s="134" t="s">
        <v>176</v>
      </c>
      <c r="J12" s="141">
        <f t="shared" si="0"/>
        <v>2016</v>
      </c>
      <c r="K12" s="141">
        <f t="shared" si="0"/>
        <v>100</v>
      </c>
      <c r="L12" s="138">
        <v>2.85</v>
      </c>
      <c r="M12" s="138">
        <v>0.3</v>
      </c>
      <c r="N12" s="138">
        <v>0</v>
      </c>
      <c r="O12" s="138">
        <v>0.3</v>
      </c>
      <c r="P12" s="138">
        <v>0.3</v>
      </c>
      <c r="Q12" s="138">
        <f t="shared" si="2"/>
        <v>3.7499999999999996</v>
      </c>
      <c r="R12" s="138">
        <v>8.9</v>
      </c>
      <c r="S12" s="138">
        <f t="shared" si="10"/>
        <v>9.7899999999999991</v>
      </c>
      <c r="T12" s="138">
        <v>14.25</v>
      </c>
      <c r="U12" s="138">
        <f t="shared" si="11"/>
        <v>5.15</v>
      </c>
      <c r="V12" s="138">
        <f t="shared" si="3"/>
        <v>3.0900000000000003</v>
      </c>
      <c r="W12" s="138">
        <f t="shared" si="4"/>
        <v>2.06</v>
      </c>
      <c r="Z12" s="132">
        <v>1</v>
      </c>
      <c r="AA12" s="132">
        <f t="shared" si="5"/>
        <v>8</v>
      </c>
      <c r="AB12" s="132">
        <v>5</v>
      </c>
      <c r="AC12" s="132">
        <v>24</v>
      </c>
      <c r="AD12" s="132">
        <f t="shared" si="6"/>
        <v>15</v>
      </c>
      <c r="AE12" s="132">
        <v>0.1</v>
      </c>
      <c r="AF12" s="132">
        <f t="shared" si="7"/>
        <v>0.11000000000000001</v>
      </c>
      <c r="AG12" s="132">
        <f t="shared" si="8"/>
        <v>2.6400000000000006</v>
      </c>
      <c r="AI12" s="132">
        <v>9</v>
      </c>
      <c r="AS12" s="132">
        <f t="shared" si="12"/>
        <v>11.85</v>
      </c>
    </row>
    <row r="13" spans="1:45" x14ac:dyDescent="0.3">
      <c r="A13" s="137" t="s">
        <v>3</v>
      </c>
      <c r="B13" s="134" t="s">
        <v>132</v>
      </c>
      <c r="C13" s="134">
        <v>2</v>
      </c>
      <c r="D13" s="134" t="str">
        <f t="shared" si="9"/>
        <v>Refrigeración</v>
      </c>
      <c r="E13" s="134">
        <v>1</v>
      </c>
      <c r="F13" s="134">
        <v>2020</v>
      </c>
      <c r="G13" s="134">
        <f t="shared" si="1"/>
        <v>300</v>
      </c>
      <c r="H13" s="134" t="s">
        <v>36</v>
      </c>
      <c r="I13" s="134" t="s">
        <v>178</v>
      </c>
      <c r="J13" s="141">
        <f t="shared" si="0"/>
        <v>2020</v>
      </c>
      <c r="K13" s="141">
        <f t="shared" si="0"/>
        <v>300</v>
      </c>
      <c r="L13" s="138">
        <v>3.3</v>
      </c>
      <c r="M13" s="138">
        <v>0.3</v>
      </c>
      <c r="N13" s="138">
        <v>0</v>
      </c>
      <c r="O13" s="138">
        <v>0.3</v>
      </c>
      <c r="P13" s="138">
        <v>0.3</v>
      </c>
      <c r="Q13" s="138">
        <f t="shared" si="2"/>
        <v>4.1999999999999993</v>
      </c>
      <c r="R13" s="138">
        <v>7.7</v>
      </c>
      <c r="S13" s="138">
        <f t="shared" si="10"/>
        <v>8.4700000000000006</v>
      </c>
      <c r="T13" s="138">
        <v>14.65</v>
      </c>
      <c r="U13" s="138">
        <f t="shared" si="11"/>
        <v>3.5000000000000009</v>
      </c>
      <c r="V13" s="138">
        <f t="shared" si="3"/>
        <v>2.1000000000000005</v>
      </c>
      <c r="W13" s="138">
        <f t="shared" si="4"/>
        <v>1.4000000000000004</v>
      </c>
      <c r="Z13" s="132">
        <v>1</v>
      </c>
      <c r="AA13" s="132">
        <f t="shared" si="5"/>
        <v>8</v>
      </c>
      <c r="AB13" s="132">
        <v>5</v>
      </c>
      <c r="AC13" s="132">
        <v>24</v>
      </c>
      <c r="AD13" s="132">
        <f t="shared" si="6"/>
        <v>15</v>
      </c>
      <c r="AE13" s="132">
        <v>0.3</v>
      </c>
      <c r="AF13" s="132">
        <f t="shared" si="7"/>
        <v>0.33</v>
      </c>
      <c r="AG13" s="132">
        <f t="shared" si="8"/>
        <v>7.92</v>
      </c>
      <c r="AK13" s="132">
        <v>2</v>
      </c>
      <c r="AS13" s="132">
        <f t="shared" si="12"/>
        <v>10.25</v>
      </c>
    </row>
    <row r="14" spans="1:45" x14ac:dyDescent="0.3">
      <c r="A14" s="137" t="s">
        <v>3</v>
      </c>
      <c r="B14" s="134" t="s">
        <v>132</v>
      </c>
      <c r="C14" s="134">
        <v>2</v>
      </c>
      <c r="D14" s="134" t="str">
        <f t="shared" si="9"/>
        <v>Refrigeración</v>
      </c>
      <c r="E14" s="134">
        <v>1</v>
      </c>
      <c r="F14" s="134">
        <v>2021</v>
      </c>
      <c r="G14" s="134">
        <f t="shared" si="1"/>
        <v>400</v>
      </c>
      <c r="H14" s="134" t="s">
        <v>37</v>
      </c>
      <c r="I14" s="134" t="s">
        <v>179</v>
      </c>
      <c r="J14" s="141">
        <f t="shared" si="0"/>
        <v>2021</v>
      </c>
      <c r="K14" s="141">
        <f t="shared" si="0"/>
        <v>400</v>
      </c>
      <c r="L14" s="138">
        <v>3</v>
      </c>
      <c r="M14" s="138">
        <v>0.3</v>
      </c>
      <c r="N14" s="138">
        <v>0</v>
      </c>
      <c r="O14" s="138">
        <v>0.3</v>
      </c>
      <c r="P14" s="138">
        <v>0.3</v>
      </c>
      <c r="Q14" s="138">
        <f t="shared" si="2"/>
        <v>3.8999999999999995</v>
      </c>
      <c r="R14" s="138">
        <v>7.25</v>
      </c>
      <c r="S14" s="138">
        <f t="shared" si="10"/>
        <v>7.98</v>
      </c>
      <c r="T14" s="138">
        <v>13.15</v>
      </c>
      <c r="U14" s="138">
        <f t="shared" si="11"/>
        <v>3.3500000000000005</v>
      </c>
      <c r="V14" s="138">
        <f t="shared" si="3"/>
        <v>2.0100000000000002</v>
      </c>
      <c r="W14" s="138">
        <f t="shared" si="4"/>
        <v>1.3400000000000003</v>
      </c>
      <c r="Z14" s="132">
        <v>1</v>
      </c>
      <c r="AA14" s="132">
        <f t="shared" si="5"/>
        <v>8</v>
      </c>
      <c r="AB14" s="132">
        <v>5</v>
      </c>
      <c r="AC14" s="132">
        <v>24</v>
      </c>
      <c r="AD14" s="132">
        <f t="shared" si="6"/>
        <v>15</v>
      </c>
      <c r="AE14" s="132">
        <v>0.4</v>
      </c>
      <c r="AF14" s="132">
        <f t="shared" si="7"/>
        <v>0.44000000000000006</v>
      </c>
      <c r="AG14" s="132">
        <f t="shared" si="8"/>
        <v>10.560000000000002</v>
      </c>
      <c r="AK14" s="132">
        <v>2</v>
      </c>
      <c r="AS14" s="132">
        <f t="shared" si="12"/>
        <v>9.66</v>
      </c>
    </row>
    <row r="15" spans="1:45" x14ac:dyDescent="0.3">
      <c r="A15" s="137" t="s">
        <v>3</v>
      </c>
      <c r="B15" s="134" t="s">
        <v>132</v>
      </c>
      <c r="C15" s="134">
        <v>2</v>
      </c>
      <c r="D15" s="134" t="str">
        <f t="shared" si="9"/>
        <v>Refrigeración</v>
      </c>
      <c r="E15" s="134">
        <v>1</v>
      </c>
      <c r="F15" s="134">
        <v>2023</v>
      </c>
      <c r="G15" s="134">
        <f t="shared" si="1"/>
        <v>400</v>
      </c>
      <c r="H15" s="134" t="s">
        <v>38</v>
      </c>
      <c r="I15" s="134" t="s">
        <v>180</v>
      </c>
      <c r="J15" s="141">
        <f t="shared" si="0"/>
        <v>2023</v>
      </c>
      <c r="K15" s="141">
        <f t="shared" si="0"/>
        <v>400</v>
      </c>
      <c r="L15" s="138">
        <v>2.75</v>
      </c>
      <c r="M15" s="138">
        <v>0.3</v>
      </c>
      <c r="N15" s="138">
        <v>0</v>
      </c>
      <c r="O15" s="138">
        <v>0.3</v>
      </c>
      <c r="P15" s="138">
        <v>0.3</v>
      </c>
      <c r="Q15" s="138">
        <f t="shared" si="2"/>
        <v>3.6499999999999995</v>
      </c>
      <c r="R15" s="138">
        <v>7.45</v>
      </c>
      <c r="S15" s="138">
        <f t="shared" si="10"/>
        <v>8.1999999999999993</v>
      </c>
      <c r="T15" s="138">
        <v>14.15</v>
      </c>
      <c r="U15" s="138">
        <f t="shared" si="11"/>
        <v>3.8000000000000007</v>
      </c>
      <c r="V15" s="138">
        <f t="shared" si="3"/>
        <v>2.2800000000000002</v>
      </c>
      <c r="W15" s="138">
        <f t="shared" si="4"/>
        <v>1.5200000000000005</v>
      </c>
      <c r="Z15" s="132">
        <v>1</v>
      </c>
      <c r="AA15" s="132">
        <f t="shared" si="5"/>
        <v>8</v>
      </c>
      <c r="AB15" s="132">
        <v>5</v>
      </c>
      <c r="AC15" s="132">
        <v>24</v>
      </c>
      <c r="AD15" s="132">
        <f t="shared" si="6"/>
        <v>15</v>
      </c>
      <c r="AE15" s="132">
        <v>0.4</v>
      </c>
      <c r="AF15" s="132">
        <f t="shared" si="7"/>
        <v>0.44000000000000006</v>
      </c>
      <c r="AG15" s="132">
        <f t="shared" si="8"/>
        <v>10.560000000000002</v>
      </c>
      <c r="AK15" s="132">
        <v>2</v>
      </c>
      <c r="AS15" s="132">
        <f t="shared" si="12"/>
        <v>9.92</v>
      </c>
    </row>
    <row r="16" spans="1:45" x14ac:dyDescent="0.3">
      <c r="A16" s="137" t="s">
        <v>3</v>
      </c>
      <c r="B16" s="134" t="s">
        <v>132</v>
      </c>
      <c r="C16" s="134">
        <v>2</v>
      </c>
      <c r="D16" s="134" t="str">
        <f t="shared" si="9"/>
        <v>Refrigeración</v>
      </c>
      <c r="E16" s="134">
        <v>1</v>
      </c>
      <c r="F16" s="134">
        <v>2123</v>
      </c>
      <c r="G16" s="134">
        <f t="shared" si="1"/>
        <v>500</v>
      </c>
      <c r="H16" s="134" t="s">
        <v>45</v>
      </c>
      <c r="I16" s="134" t="s">
        <v>181</v>
      </c>
      <c r="J16" s="141">
        <f t="shared" si="0"/>
        <v>2123</v>
      </c>
      <c r="K16" s="141">
        <f t="shared" si="0"/>
        <v>500</v>
      </c>
      <c r="L16" s="138">
        <v>4.9000000000000004</v>
      </c>
      <c r="M16" s="138">
        <v>0.3</v>
      </c>
      <c r="N16" s="138">
        <v>0</v>
      </c>
      <c r="O16" s="138">
        <v>0.3</v>
      </c>
      <c r="P16" s="138">
        <v>0.3</v>
      </c>
      <c r="Q16" s="138">
        <f t="shared" si="2"/>
        <v>5.8</v>
      </c>
      <c r="R16" s="138">
        <v>12</v>
      </c>
      <c r="S16" s="138">
        <f t="shared" si="10"/>
        <v>13.2</v>
      </c>
      <c r="U16" s="138">
        <f t="shared" si="11"/>
        <v>6.2</v>
      </c>
      <c r="V16" s="138">
        <f t="shared" si="3"/>
        <v>3.7199999999999998</v>
      </c>
      <c r="W16" s="138">
        <f t="shared" si="4"/>
        <v>2.4800000000000004</v>
      </c>
      <c r="Z16" s="132">
        <v>1</v>
      </c>
      <c r="AA16" s="132">
        <f t="shared" si="5"/>
        <v>4</v>
      </c>
      <c r="AB16" s="132">
        <v>5</v>
      </c>
      <c r="AC16" s="132">
        <v>12</v>
      </c>
      <c r="AD16" s="132">
        <f t="shared" si="6"/>
        <v>10</v>
      </c>
      <c r="AE16" s="132">
        <v>0.5</v>
      </c>
      <c r="AF16" s="132">
        <f t="shared" si="7"/>
        <v>0.55000000000000004</v>
      </c>
      <c r="AG16" s="132">
        <f t="shared" si="8"/>
        <v>6.6000000000000005</v>
      </c>
      <c r="AS16" s="132">
        <f t="shared" si="12"/>
        <v>15.97</v>
      </c>
    </row>
    <row r="17" spans="1:45" x14ac:dyDescent="0.3">
      <c r="A17" s="137" t="s">
        <v>3</v>
      </c>
      <c r="B17" s="134" t="s">
        <v>132</v>
      </c>
      <c r="C17" s="134">
        <v>3</v>
      </c>
      <c r="D17" s="134" t="str">
        <f t="shared" si="9"/>
        <v>Climatización</v>
      </c>
      <c r="E17" s="134">
        <v>0</v>
      </c>
      <c r="F17" s="134" t="s">
        <v>76</v>
      </c>
      <c r="G17" s="134">
        <f t="shared" si="1"/>
        <v>1000</v>
      </c>
      <c r="H17" s="134" t="s">
        <v>42</v>
      </c>
      <c r="I17" s="134" t="s">
        <v>182</v>
      </c>
      <c r="J17" s="141" t="str">
        <f t="shared" si="0"/>
        <v>2024-1000</v>
      </c>
      <c r="K17" s="141">
        <f t="shared" si="0"/>
        <v>1000</v>
      </c>
      <c r="L17" s="138">
        <v>5.5</v>
      </c>
      <c r="M17" s="138">
        <v>0.3</v>
      </c>
      <c r="N17" s="138">
        <v>0</v>
      </c>
      <c r="O17" s="138">
        <v>0.3</v>
      </c>
      <c r="P17" s="138">
        <v>0.3</v>
      </c>
      <c r="Q17" s="138">
        <f t="shared" si="2"/>
        <v>6.3999999999999995</v>
      </c>
      <c r="R17" s="138">
        <v>13.7</v>
      </c>
      <c r="S17" s="138">
        <f t="shared" si="10"/>
        <v>15.07</v>
      </c>
      <c r="U17" s="138">
        <f t="shared" si="11"/>
        <v>7.3</v>
      </c>
      <c r="V17" s="138">
        <f t="shared" si="3"/>
        <v>4.38</v>
      </c>
      <c r="W17" s="138">
        <f t="shared" si="4"/>
        <v>2.92</v>
      </c>
      <c r="Z17" s="132">
        <v>1</v>
      </c>
      <c r="AA17" s="132">
        <f t="shared" si="5"/>
        <v>4</v>
      </c>
      <c r="AB17" s="132">
        <v>5</v>
      </c>
      <c r="AC17" s="132">
        <v>12</v>
      </c>
      <c r="AD17" s="132">
        <f t="shared" si="6"/>
        <v>10</v>
      </c>
      <c r="AE17" s="132">
        <v>1</v>
      </c>
      <c r="AF17" s="132">
        <f t="shared" si="7"/>
        <v>1.1000000000000001</v>
      </c>
      <c r="AG17" s="132">
        <f t="shared" si="8"/>
        <v>13.200000000000001</v>
      </c>
      <c r="AK17" s="132" t="s">
        <v>43</v>
      </c>
      <c r="AS17" s="132">
        <f t="shared" si="12"/>
        <v>18.23</v>
      </c>
    </row>
    <row r="18" spans="1:45" x14ac:dyDescent="0.3">
      <c r="A18" s="137" t="s">
        <v>3</v>
      </c>
      <c r="B18" s="134" t="s">
        <v>132</v>
      </c>
      <c r="C18" s="134">
        <v>3</v>
      </c>
      <c r="D18" s="134" t="str">
        <f t="shared" si="9"/>
        <v>Climatización</v>
      </c>
      <c r="E18" s="134">
        <v>1</v>
      </c>
      <c r="F18" s="132">
        <v>2025</v>
      </c>
      <c r="G18" s="134">
        <f t="shared" si="1"/>
        <v>100</v>
      </c>
      <c r="H18" s="134" t="s">
        <v>44</v>
      </c>
      <c r="I18" s="134" t="s">
        <v>44</v>
      </c>
      <c r="J18" s="141">
        <f t="shared" si="0"/>
        <v>2025</v>
      </c>
      <c r="K18" s="141">
        <f t="shared" si="0"/>
        <v>100</v>
      </c>
      <c r="L18" s="138">
        <v>3.35</v>
      </c>
      <c r="M18" s="138">
        <v>0.3</v>
      </c>
      <c r="N18" s="138">
        <v>0</v>
      </c>
      <c r="O18" s="138">
        <v>0.3</v>
      </c>
      <c r="P18" s="138">
        <v>0.3</v>
      </c>
      <c r="Q18" s="138">
        <f t="shared" si="2"/>
        <v>4.25</v>
      </c>
      <c r="R18" s="138">
        <v>9.25</v>
      </c>
      <c r="S18" s="138">
        <f t="shared" si="10"/>
        <v>10.18</v>
      </c>
      <c r="T18" s="138">
        <v>15.2</v>
      </c>
      <c r="U18" s="138">
        <f t="shared" si="11"/>
        <v>5</v>
      </c>
      <c r="V18" s="138">
        <f t="shared" si="3"/>
        <v>3</v>
      </c>
      <c r="W18" s="138">
        <f t="shared" si="4"/>
        <v>2</v>
      </c>
      <c r="Z18" s="132">
        <v>1</v>
      </c>
      <c r="AA18" s="132">
        <f t="shared" si="5"/>
        <v>8</v>
      </c>
      <c r="AB18" s="132">
        <v>5</v>
      </c>
      <c r="AC18" s="132">
        <v>24</v>
      </c>
      <c r="AD18" s="132">
        <f t="shared" si="6"/>
        <v>15</v>
      </c>
      <c r="AE18" s="132">
        <v>0.1</v>
      </c>
      <c r="AF18" s="132">
        <f t="shared" si="7"/>
        <v>0.11000000000000001</v>
      </c>
      <c r="AG18" s="132">
        <f t="shared" si="8"/>
        <v>2.6400000000000006</v>
      </c>
      <c r="AK18" s="132">
        <v>1</v>
      </c>
      <c r="AS18" s="132">
        <f t="shared" si="12"/>
        <v>12.32</v>
      </c>
    </row>
    <row r="19" spans="1:45" x14ac:dyDescent="0.3">
      <c r="A19" s="137" t="s">
        <v>3</v>
      </c>
      <c r="B19" s="134" t="s">
        <v>132</v>
      </c>
      <c r="C19" s="134">
        <v>3</v>
      </c>
      <c r="D19" s="134" t="str">
        <f t="shared" si="9"/>
        <v>Climatización</v>
      </c>
      <c r="E19" s="134">
        <v>0</v>
      </c>
      <c r="F19" s="134">
        <v>2125</v>
      </c>
      <c r="G19" s="134">
        <f t="shared" si="1"/>
        <v>100</v>
      </c>
      <c r="H19" s="134" t="s">
        <v>77</v>
      </c>
      <c r="I19" s="134" t="s">
        <v>183</v>
      </c>
      <c r="J19" s="141">
        <f t="shared" si="0"/>
        <v>2125</v>
      </c>
      <c r="K19" s="141">
        <f t="shared" si="0"/>
        <v>100</v>
      </c>
      <c r="L19" s="138">
        <v>3.35</v>
      </c>
      <c r="M19" s="138">
        <v>0.3</v>
      </c>
      <c r="N19" s="138">
        <v>0</v>
      </c>
      <c r="O19" s="138">
        <v>0.3</v>
      </c>
      <c r="P19" s="138">
        <v>0.3</v>
      </c>
      <c r="Q19" s="138">
        <f t="shared" si="2"/>
        <v>4.25</v>
      </c>
      <c r="R19" s="138">
        <v>9.25</v>
      </c>
      <c r="S19" s="138">
        <f t="shared" si="10"/>
        <v>10.18</v>
      </c>
      <c r="T19" s="138">
        <v>15.2</v>
      </c>
      <c r="U19" s="138">
        <f t="shared" si="11"/>
        <v>5</v>
      </c>
      <c r="V19" s="138">
        <f t="shared" si="3"/>
        <v>3</v>
      </c>
      <c r="W19" s="138">
        <f t="shared" si="4"/>
        <v>2</v>
      </c>
      <c r="Z19" s="132">
        <v>1</v>
      </c>
      <c r="AA19" s="132">
        <f t="shared" si="5"/>
        <v>8</v>
      </c>
      <c r="AB19" s="132">
        <v>5</v>
      </c>
      <c r="AC19" s="132">
        <v>24</v>
      </c>
      <c r="AD19" s="132">
        <f t="shared" si="6"/>
        <v>15</v>
      </c>
      <c r="AE19" s="132">
        <v>0.1</v>
      </c>
      <c r="AF19" s="132">
        <f t="shared" si="7"/>
        <v>0.11000000000000001</v>
      </c>
      <c r="AG19" s="132">
        <f t="shared" si="8"/>
        <v>2.6400000000000006</v>
      </c>
      <c r="AK19" s="132">
        <v>1</v>
      </c>
      <c r="AS19" s="132">
        <f t="shared" si="12"/>
        <v>12.32</v>
      </c>
    </row>
    <row r="20" spans="1:45" x14ac:dyDescent="0.3">
      <c r="A20" s="137" t="s">
        <v>3</v>
      </c>
      <c r="B20" s="134" t="s">
        <v>132</v>
      </c>
      <c r="C20" s="134">
        <v>3</v>
      </c>
      <c r="D20" s="134" t="str">
        <f t="shared" si="9"/>
        <v>Climatización</v>
      </c>
      <c r="E20" s="134">
        <v>0</v>
      </c>
      <c r="F20" s="134">
        <v>2127</v>
      </c>
      <c r="G20" s="134">
        <v>75</v>
      </c>
      <c r="H20" s="134" t="s">
        <v>326</v>
      </c>
      <c r="I20" s="134" t="s">
        <v>187</v>
      </c>
      <c r="J20" s="141">
        <f t="shared" si="0"/>
        <v>2127</v>
      </c>
      <c r="K20" s="141">
        <f t="shared" si="0"/>
        <v>75</v>
      </c>
      <c r="L20" s="138">
        <v>3.35</v>
      </c>
      <c r="M20" s="138">
        <v>0.3</v>
      </c>
      <c r="N20" s="138">
        <v>0</v>
      </c>
      <c r="O20" s="138">
        <v>0.3</v>
      </c>
      <c r="P20" s="138">
        <v>0.3</v>
      </c>
      <c r="Q20" s="138">
        <f t="shared" si="2"/>
        <v>4.25</v>
      </c>
      <c r="R20" s="138">
        <v>9.25</v>
      </c>
      <c r="S20" s="138">
        <f t="shared" si="10"/>
        <v>10.18</v>
      </c>
      <c r="T20" s="138">
        <v>15.2</v>
      </c>
      <c r="U20" s="138">
        <f t="shared" si="11"/>
        <v>5</v>
      </c>
      <c r="V20" s="138">
        <f t="shared" si="3"/>
        <v>3</v>
      </c>
      <c r="W20" s="138">
        <f t="shared" si="4"/>
        <v>2</v>
      </c>
      <c r="Z20" s="132">
        <v>1</v>
      </c>
      <c r="AA20" s="132">
        <f t="shared" si="5"/>
        <v>8</v>
      </c>
      <c r="AB20" s="132">
        <v>5</v>
      </c>
      <c r="AC20" s="132">
        <v>24</v>
      </c>
      <c r="AD20" s="132">
        <f t="shared" si="6"/>
        <v>15</v>
      </c>
      <c r="AE20" s="132">
        <v>0.1</v>
      </c>
      <c r="AF20" s="132">
        <f t="shared" si="7"/>
        <v>0.11000000000000001</v>
      </c>
      <c r="AG20" s="132">
        <f t="shared" si="8"/>
        <v>2.6400000000000006</v>
      </c>
      <c r="AK20" s="132">
        <v>1</v>
      </c>
      <c r="AS20" s="132">
        <f t="shared" si="12"/>
        <v>12.32</v>
      </c>
    </row>
    <row r="21" spans="1:45" x14ac:dyDescent="0.3">
      <c r="A21" s="137" t="s">
        <v>3</v>
      </c>
      <c r="B21" s="134" t="s">
        <v>132</v>
      </c>
      <c r="C21" s="134">
        <v>3</v>
      </c>
      <c r="D21" s="134" t="str">
        <f t="shared" si="9"/>
        <v>Climatización</v>
      </c>
      <c r="E21" s="134">
        <v>1</v>
      </c>
      <c r="F21" s="134">
        <v>7020100</v>
      </c>
      <c r="G21" s="134">
        <f t="shared" ref="G21:G69" si="13">AE21*1000</f>
        <v>100</v>
      </c>
      <c r="H21" s="134" t="s">
        <v>53</v>
      </c>
      <c r="I21" s="134" t="s">
        <v>188</v>
      </c>
      <c r="J21" s="141">
        <f t="shared" si="0"/>
        <v>7020100</v>
      </c>
      <c r="K21" s="141">
        <f t="shared" si="0"/>
        <v>100</v>
      </c>
      <c r="L21" s="138">
        <v>6.8</v>
      </c>
      <c r="M21" s="138">
        <v>0.3</v>
      </c>
      <c r="N21" s="138">
        <v>0</v>
      </c>
      <c r="O21" s="138">
        <v>0.3</v>
      </c>
      <c r="P21" s="138">
        <v>0.3</v>
      </c>
      <c r="Q21" s="138">
        <f t="shared" si="2"/>
        <v>7.6999999999999993</v>
      </c>
      <c r="R21" s="138">
        <v>21.2</v>
      </c>
      <c r="S21" s="138">
        <f t="shared" si="10"/>
        <v>23.32</v>
      </c>
      <c r="T21" s="138">
        <v>33.700000000000003</v>
      </c>
      <c r="U21" s="138">
        <f t="shared" si="11"/>
        <v>13.5</v>
      </c>
      <c r="V21" s="138">
        <f t="shared" si="3"/>
        <v>8.1</v>
      </c>
      <c r="W21" s="138">
        <f t="shared" si="4"/>
        <v>5.4</v>
      </c>
      <c r="Z21" s="132">
        <v>1</v>
      </c>
      <c r="AA21" s="132">
        <f t="shared" si="5"/>
        <v>8</v>
      </c>
      <c r="AB21" s="132">
        <v>5</v>
      </c>
      <c r="AC21" s="132">
        <v>24</v>
      </c>
      <c r="AD21" s="132">
        <f t="shared" si="6"/>
        <v>15</v>
      </c>
      <c r="AE21" s="132">
        <v>0.1</v>
      </c>
      <c r="AF21" s="132">
        <f t="shared" si="7"/>
        <v>0.11000000000000001</v>
      </c>
      <c r="AG21" s="132">
        <f t="shared" si="8"/>
        <v>2.6400000000000006</v>
      </c>
      <c r="AJ21" s="132">
        <v>1</v>
      </c>
      <c r="AS21" s="132">
        <f t="shared" si="12"/>
        <v>28.22</v>
      </c>
    </row>
    <row r="22" spans="1:45" x14ac:dyDescent="0.3">
      <c r="A22" s="137" t="s">
        <v>3</v>
      </c>
      <c r="B22" s="134" t="s">
        <v>132</v>
      </c>
      <c r="C22" s="134">
        <v>3</v>
      </c>
      <c r="D22" s="134" t="str">
        <f t="shared" si="9"/>
        <v>Climatización</v>
      </c>
      <c r="E22" s="134">
        <v>1</v>
      </c>
      <c r="F22" s="134">
        <v>1711</v>
      </c>
      <c r="G22" s="134">
        <f t="shared" si="13"/>
        <v>100</v>
      </c>
      <c r="H22" s="134" t="s">
        <v>52</v>
      </c>
      <c r="I22" s="134" t="s">
        <v>316</v>
      </c>
      <c r="J22" s="141">
        <f t="shared" si="0"/>
        <v>1711</v>
      </c>
      <c r="K22" s="141">
        <f t="shared" si="0"/>
        <v>100</v>
      </c>
      <c r="L22" s="138">
        <v>2.5</v>
      </c>
      <c r="M22" s="138">
        <v>0.3</v>
      </c>
      <c r="N22" s="138">
        <v>0</v>
      </c>
      <c r="O22" s="138">
        <v>0.3</v>
      </c>
      <c r="P22" s="138">
        <v>0.3</v>
      </c>
      <c r="Q22" s="138">
        <f t="shared" si="2"/>
        <v>3.3999999999999995</v>
      </c>
      <c r="R22" s="138">
        <v>7</v>
      </c>
      <c r="S22" s="138">
        <f t="shared" si="10"/>
        <v>7.7</v>
      </c>
      <c r="U22" s="138">
        <f t="shared" si="11"/>
        <v>3.6000000000000005</v>
      </c>
      <c r="V22" s="138">
        <f t="shared" si="3"/>
        <v>2.16</v>
      </c>
      <c r="W22" s="138">
        <f t="shared" si="4"/>
        <v>1.4400000000000004</v>
      </c>
      <c r="Z22" s="132">
        <v>1</v>
      </c>
      <c r="AA22" s="132">
        <f t="shared" si="5"/>
        <v>0</v>
      </c>
      <c r="AB22" s="132">
        <v>5</v>
      </c>
      <c r="AC22" s="132">
        <v>1</v>
      </c>
      <c r="AD22" s="132">
        <f t="shared" si="6"/>
        <v>0</v>
      </c>
      <c r="AE22" s="132">
        <v>0.1</v>
      </c>
      <c r="AF22" s="132">
        <f t="shared" si="7"/>
        <v>0.11000000000000001</v>
      </c>
      <c r="AG22" s="132">
        <f t="shared" si="8"/>
        <v>0.11000000000000001</v>
      </c>
      <c r="AK22" s="132">
        <v>1</v>
      </c>
      <c r="AS22" s="132">
        <f t="shared" si="12"/>
        <v>9.32</v>
      </c>
    </row>
    <row r="23" spans="1:45" x14ac:dyDescent="0.3">
      <c r="A23" s="137" t="s">
        <v>3</v>
      </c>
      <c r="B23" s="134" t="s">
        <v>132</v>
      </c>
      <c r="C23" s="134">
        <v>3</v>
      </c>
      <c r="D23" s="134" t="str">
        <f t="shared" si="9"/>
        <v>Climatización</v>
      </c>
      <c r="E23" s="134">
        <v>1</v>
      </c>
      <c r="F23" s="134">
        <v>7021100</v>
      </c>
      <c r="G23" s="134">
        <f t="shared" si="13"/>
        <v>100</v>
      </c>
      <c r="H23" s="134" t="s">
        <v>56</v>
      </c>
      <c r="I23" s="134" t="s">
        <v>318</v>
      </c>
      <c r="J23" s="141">
        <f t="shared" si="0"/>
        <v>7021100</v>
      </c>
      <c r="K23" s="141">
        <f t="shared" si="0"/>
        <v>100</v>
      </c>
      <c r="L23" s="138">
        <v>15.5</v>
      </c>
      <c r="M23" s="138">
        <v>0.3</v>
      </c>
      <c r="N23" s="138">
        <v>0</v>
      </c>
      <c r="O23" s="138">
        <v>0.3</v>
      </c>
      <c r="P23" s="138">
        <v>0.3</v>
      </c>
      <c r="Q23" s="138">
        <f t="shared" si="2"/>
        <v>16.400000000000002</v>
      </c>
      <c r="R23" s="138">
        <v>44.7</v>
      </c>
      <c r="S23" s="138">
        <f t="shared" si="10"/>
        <v>49.17</v>
      </c>
      <c r="T23" s="138">
        <v>71.7</v>
      </c>
      <c r="U23" s="138">
        <f t="shared" si="11"/>
        <v>28.3</v>
      </c>
      <c r="V23" s="138">
        <f t="shared" si="3"/>
        <v>16.98</v>
      </c>
      <c r="W23" s="138">
        <f t="shared" si="4"/>
        <v>11.32</v>
      </c>
      <c r="Z23" s="132">
        <v>1</v>
      </c>
      <c r="AA23" s="132">
        <f t="shared" si="5"/>
        <v>8</v>
      </c>
      <c r="AB23" s="132">
        <v>5</v>
      </c>
      <c r="AC23" s="132">
        <v>24</v>
      </c>
      <c r="AD23" s="132">
        <f t="shared" si="6"/>
        <v>15</v>
      </c>
      <c r="AE23" s="132">
        <v>0.1</v>
      </c>
      <c r="AF23" s="132">
        <f t="shared" si="7"/>
        <v>0.11000000000000001</v>
      </c>
      <c r="AG23" s="132">
        <f t="shared" si="8"/>
        <v>2.6400000000000006</v>
      </c>
      <c r="AJ23" s="132">
        <v>6</v>
      </c>
      <c r="AS23" s="132">
        <f t="shared" si="12"/>
        <v>59.5</v>
      </c>
    </row>
    <row r="24" spans="1:45" ht="14.25" customHeight="1" x14ac:dyDescent="0.3">
      <c r="A24" s="137" t="s">
        <v>3</v>
      </c>
      <c r="B24" s="134" t="s">
        <v>132</v>
      </c>
      <c r="C24" s="134">
        <v>3</v>
      </c>
      <c r="D24" s="134" t="str">
        <f t="shared" si="9"/>
        <v>Climatización</v>
      </c>
      <c r="E24" s="134">
        <v>1</v>
      </c>
      <c r="F24" s="134">
        <v>7050250</v>
      </c>
      <c r="G24" s="134">
        <f t="shared" si="13"/>
        <v>250</v>
      </c>
      <c r="H24" s="134" t="s">
        <v>196</v>
      </c>
      <c r="I24" s="134" t="s">
        <v>287</v>
      </c>
      <c r="J24" s="141">
        <f t="shared" si="0"/>
        <v>7050250</v>
      </c>
      <c r="K24" s="141">
        <f t="shared" si="0"/>
        <v>250</v>
      </c>
      <c r="L24" s="138">
        <v>12.9</v>
      </c>
      <c r="M24" s="138">
        <v>0.3</v>
      </c>
      <c r="N24" s="138">
        <v>0</v>
      </c>
      <c r="O24" s="138">
        <v>0.3</v>
      </c>
      <c r="P24" s="138">
        <v>0.3</v>
      </c>
      <c r="Q24" s="138">
        <f t="shared" si="2"/>
        <v>13.800000000000002</v>
      </c>
      <c r="R24" s="138">
        <v>30.7</v>
      </c>
      <c r="S24" s="138">
        <f t="shared" si="10"/>
        <v>33.770000000000003</v>
      </c>
      <c r="T24" s="138">
        <v>47.1</v>
      </c>
      <c r="U24" s="138">
        <f t="shared" si="11"/>
        <v>16.899999999999999</v>
      </c>
      <c r="V24" s="138">
        <f t="shared" si="3"/>
        <v>10.139999999999999</v>
      </c>
      <c r="W24" s="138">
        <f t="shared" si="4"/>
        <v>6.76</v>
      </c>
      <c r="Z24" s="132">
        <v>1</v>
      </c>
      <c r="AA24" s="132">
        <f t="shared" si="5"/>
        <v>8</v>
      </c>
      <c r="AB24" s="132">
        <v>5</v>
      </c>
      <c r="AC24" s="132">
        <v>24</v>
      </c>
      <c r="AD24" s="132">
        <f t="shared" si="6"/>
        <v>15</v>
      </c>
      <c r="AE24" s="132">
        <v>0.25</v>
      </c>
      <c r="AF24" s="132">
        <f t="shared" si="7"/>
        <v>0.27500000000000002</v>
      </c>
      <c r="AG24" s="132">
        <f t="shared" si="8"/>
        <v>6.6000000000000005</v>
      </c>
      <c r="AJ24" s="132">
        <v>6</v>
      </c>
      <c r="AS24" s="132">
        <f t="shared" si="12"/>
        <v>40.86</v>
      </c>
    </row>
    <row r="25" spans="1:45" x14ac:dyDescent="0.3">
      <c r="A25" s="137" t="s">
        <v>3</v>
      </c>
      <c r="B25" s="134" t="s">
        <v>132</v>
      </c>
      <c r="C25" s="134">
        <v>3</v>
      </c>
      <c r="D25" s="134" t="str">
        <f t="shared" si="9"/>
        <v>Climatización</v>
      </c>
      <c r="E25" s="134">
        <v>1</v>
      </c>
      <c r="F25" s="134">
        <v>7050001</v>
      </c>
      <c r="G25" s="134">
        <f t="shared" si="13"/>
        <v>1000</v>
      </c>
      <c r="H25" s="134" t="s">
        <v>196</v>
      </c>
      <c r="I25" s="134" t="s">
        <v>288</v>
      </c>
      <c r="J25" s="141">
        <f t="shared" si="0"/>
        <v>7050001</v>
      </c>
      <c r="K25" s="141">
        <f t="shared" si="0"/>
        <v>1000</v>
      </c>
      <c r="L25" s="138">
        <v>49</v>
      </c>
      <c r="M25" s="138">
        <v>0.3</v>
      </c>
      <c r="N25" s="138">
        <v>0</v>
      </c>
      <c r="O25" s="138">
        <v>0.3</v>
      </c>
      <c r="P25" s="138">
        <v>0.3</v>
      </c>
      <c r="Q25" s="138">
        <f t="shared" si="2"/>
        <v>49.899999999999991</v>
      </c>
      <c r="R25" s="138">
        <v>130.1</v>
      </c>
      <c r="S25" s="138">
        <f t="shared" si="10"/>
        <v>143.11000000000001</v>
      </c>
      <c r="U25" s="138">
        <f t="shared" si="11"/>
        <v>80.2</v>
      </c>
      <c r="V25" s="138">
        <f t="shared" si="3"/>
        <v>48.12</v>
      </c>
      <c r="W25" s="138">
        <f t="shared" si="4"/>
        <v>32.080000000000005</v>
      </c>
      <c r="Z25" s="132">
        <v>1</v>
      </c>
      <c r="AA25" s="132">
        <f t="shared" si="5"/>
        <v>4</v>
      </c>
      <c r="AB25" s="132">
        <v>5</v>
      </c>
      <c r="AC25" s="132">
        <v>12</v>
      </c>
      <c r="AD25" s="132">
        <f t="shared" si="6"/>
        <v>10</v>
      </c>
      <c r="AE25" s="132">
        <v>1</v>
      </c>
      <c r="AF25" s="132">
        <f t="shared" si="7"/>
        <v>1.1000000000000001</v>
      </c>
      <c r="AG25" s="132">
        <f t="shared" si="8"/>
        <v>13.200000000000001</v>
      </c>
      <c r="AJ25" s="132">
        <v>6</v>
      </c>
      <c r="AS25" s="132">
        <f t="shared" si="12"/>
        <v>173.16</v>
      </c>
    </row>
    <row r="26" spans="1:45" x14ac:dyDescent="0.3">
      <c r="A26" s="134" t="s">
        <v>3</v>
      </c>
      <c r="B26" s="134" t="s">
        <v>132</v>
      </c>
      <c r="C26" s="134">
        <v>3</v>
      </c>
      <c r="D26" s="134" t="str">
        <f t="shared" si="9"/>
        <v>Climatización</v>
      </c>
      <c r="E26" s="134">
        <v>1</v>
      </c>
      <c r="F26" s="134">
        <v>7034001</v>
      </c>
      <c r="G26" s="134">
        <f t="shared" si="13"/>
        <v>1000</v>
      </c>
      <c r="H26" s="134" t="s">
        <v>57</v>
      </c>
      <c r="I26" s="134" t="s">
        <v>327</v>
      </c>
      <c r="J26" s="141">
        <f t="shared" si="0"/>
        <v>7034001</v>
      </c>
      <c r="K26" s="141">
        <f t="shared" si="0"/>
        <v>1000</v>
      </c>
      <c r="L26" s="138">
        <v>13.25</v>
      </c>
      <c r="M26" s="138">
        <v>0.3</v>
      </c>
      <c r="N26" s="138">
        <v>0</v>
      </c>
      <c r="O26" s="138">
        <v>0.3</v>
      </c>
      <c r="P26" s="138">
        <v>0.3</v>
      </c>
      <c r="Q26" s="138">
        <f t="shared" si="2"/>
        <v>14.150000000000002</v>
      </c>
      <c r="R26" s="138">
        <v>32</v>
      </c>
      <c r="S26" s="138">
        <f t="shared" si="10"/>
        <v>35.200000000000003</v>
      </c>
      <c r="U26" s="138">
        <f t="shared" si="11"/>
        <v>17.849999999999998</v>
      </c>
      <c r="V26" s="138">
        <f t="shared" si="3"/>
        <v>10.709999999999999</v>
      </c>
      <c r="W26" s="138">
        <f t="shared" si="4"/>
        <v>7.14</v>
      </c>
      <c r="Z26" s="132">
        <v>1</v>
      </c>
      <c r="AA26" s="132">
        <f t="shared" si="5"/>
        <v>4</v>
      </c>
      <c r="AB26" s="132">
        <v>5</v>
      </c>
      <c r="AC26" s="132">
        <v>12</v>
      </c>
      <c r="AD26" s="132">
        <f t="shared" si="6"/>
        <v>10</v>
      </c>
      <c r="AE26" s="132">
        <v>1</v>
      </c>
      <c r="AF26" s="132">
        <f t="shared" si="7"/>
        <v>1.1000000000000001</v>
      </c>
      <c r="AG26" s="132">
        <f t="shared" si="8"/>
        <v>13.200000000000001</v>
      </c>
      <c r="AS26" s="132">
        <f t="shared" si="12"/>
        <v>42.59</v>
      </c>
    </row>
    <row r="27" spans="1:45" x14ac:dyDescent="0.3">
      <c r="A27" s="134" t="s">
        <v>3</v>
      </c>
      <c r="B27" s="134" t="s">
        <v>132</v>
      </c>
      <c r="C27" s="134">
        <v>3</v>
      </c>
      <c r="D27" s="134" t="str">
        <f t="shared" si="9"/>
        <v>Climatización</v>
      </c>
      <c r="E27" s="134">
        <v>1</v>
      </c>
      <c r="F27" s="134">
        <v>7035001</v>
      </c>
      <c r="G27" s="134">
        <f t="shared" si="13"/>
        <v>1000</v>
      </c>
      <c r="H27" s="134" t="s">
        <v>58</v>
      </c>
      <c r="I27" s="134" t="s">
        <v>328</v>
      </c>
      <c r="J27" s="141">
        <f t="shared" si="0"/>
        <v>7035001</v>
      </c>
      <c r="K27" s="141">
        <f t="shared" si="0"/>
        <v>1000</v>
      </c>
      <c r="L27" s="138">
        <v>13.85</v>
      </c>
      <c r="M27" s="138">
        <v>0.3</v>
      </c>
      <c r="N27" s="138">
        <v>0</v>
      </c>
      <c r="O27" s="138">
        <v>0.3</v>
      </c>
      <c r="P27" s="138">
        <v>0.3</v>
      </c>
      <c r="Q27" s="138">
        <f t="shared" si="2"/>
        <v>14.750000000000002</v>
      </c>
      <c r="R27" s="138">
        <v>32</v>
      </c>
      <c r="S27" s="138">
        <f t="shared" si="10"/>
        <v>35.200000000000003</v>
      </c>
      <c r="U27" s="138">
        <f t="shared" si="11"/>
        <v>17.25</v>
      </c>
      <c r="V27" s="138">
        <f t="shared" si="3"/>
        <v>10.35</v>
      </c>
      <c r="W27" s="138">
        <f t="shared" si="4"/>
        <v>6.9</v>
      </c>
      <c r="Z27" s="132">
        <v>1</v>
      </c>
      <c r="AA27" s="132">
        <f t="shared" si="5"/>
        <v>4</v>
      </c>
      <c r="AB27" s="132">
        <v>5</v>
      </c>
      <c r="AC27" s="132">
        <v>12</v>
      </c>
      <c r="AD27" s="132">
        <f t="shared" si="6"/>
        <v>10</v>
      </c>
      <c r="AE27" s="132">
        <v>1</v>
      </c>
      <c r="AF27" s="132">
        <f t="shared" si="7"/>
        <v>1.1000000000000001</v>
      </c>
      <c r="AG27" s="132">
        <f t="shared" si="8"/>
        <v>13.200000000000001</v>
      </c>
      <c r="AJ27" s="132">
        <v>6</v>
      </c>
      <c r="AS27" s="132">
        <f t="shared" si="12"/>
        <v>42.59</v>
      </c>
    </row>
    <row r="28" spans="1:45" x14ac:dyDescent="0.3">
      <c r="A28" s="137" t="s">
        <v>3</v>
      </c>
      <c r="B28" s="134" t="s">
        <v>132</v>
      </c>
      <c r="C28" s="134">
        <v>3</v>
      </c>
      <c r="D28" s="134" t="str">
        <f t="shared" si="9"/>
        <v>Climatización</v>
      </c>
      <c r="E28" s="134">
        <v>1</v>
      </c>
      <c r="F28" s="134">
        <v>2127</v>
      </c>
      <c r="G28" s="134">
        <f t="shared" si="13"/>
        <v>100</v>
      </c>
      <c r="H28" s="134" t="s">
        <v>47</v>
      </c>
      <c r="I28" s="134" t="s">
        <v>187</v>
      </c>
      <c r="J28" s="141">
        <f t="shared" si="0"/>
        <v>2127</v>
      </c>
      <c r="K28" s="141">
        <f t="shared" si="0"/>
        <v>100</v>
      </c>
      <c r="L28" s="138">
        <v>3.95</v>
      </c>
      <c r="M28" s="138">
        <v>0.3</v>
      </c>
      <c r="N28" s="138">
        <v>0</v>
      </c>
      <c r="O28" s="138">
        <v>0.3</v>
      </c>
      <c r="P28" s="138">
        <v>0.3</v>
      </c>
      <c r="Q28" s="138">
        <f t="shared" si="2"/>
        <v>4.8499999999999996</v>
      </c>
      <c r="R28" s="138">
        <v>7.8</v>
      </c>
      <c r="S28" s="138">
        <f t="shared" si="10"/>
        <v>8.58</v>
      </c>
      <c r="T28" s="138">
        <v>12.65</v>
      </c>
      <c r="U28" s="138">
        <f t="shared" si="11"/>
        <v>2.95</v>
      </c>
      <c r="V28" s="138">
        <f t="shared" si="3"/>
        <v>1.77</v>
      </c>
      <c r="W28" s="138">
        <f t="shared" si="4"/>
        <v>1.1800000000000002</v>
      </c>
      <c r="Z28" s="132">
        <v>1</v>
      </c>
      <c r="AA28" s="132">
        <f t="shared" si="5"/>
        <v>8</v>
      </c>
      <c r="AB28" s="132">
        <v>5</v>
      </c>
      <c r="AC28" s="132">
        <v>24</v>
      </c>
      <c r="AD28" s="132">
        <f t="shared" si="6"/>
        <v>15</v>
      </c>
      <c r="AE28" s="132">
        <v>0.1</v>
      </c>
      <c r="AF28" s="132">
        <f t="shared" si="7"/>
        <v>0.11000000000000001</v>
      </c>
      <c r="AG28" s="132">
        <f t="shared" si="8"/>
        <v>2.6400000000000006</v>
      </c>
      <c r="AK28" s="132">
        <v>1</v>
      </c>
      <c r="AS28" s="132">
        <f t="shared" si="12"/>
        <v>10.38</v>
      </c>
    </row>
    <row r="29" spans="1:45" x14ac:dyDescent="0.3">
      <c r="A29" s="137" t="s">
        <v>3</v>
      </c>
      <c r="B29" s="134" t="s">
        <v>132</v>
      </c>
      <c r="C29" s="134">
        <v>4</v>
      </c>
      <c r="D29" s="134" t="str">
        <f t="shared" si="9"/>
        <v>Sistema de Combustión</v>
      </c>
      <c r="E29" s="134">
        <v>1</v>
      </c>
      <c r="F29" s="134">
        <v>2030</v>
      </c>
      <c r="G29" s="134">
        <f t="shared" si="13"/>
        <v>500</v>
      </c>
      <c r="H29" s="134" t="s">
        <v>59</v>
      </c>
      <c r="I29" s="134" t="s">
        <v>197</v>
      </c>
      <c r="J29" s="141">
        <f t="shared" si="0"/>
        <v>2030</v>
      </c>
      <c r="K29" s="141">
        <f t="shared" si="0"/>
        <v>500</v>
      </c>
      <c r="L29" s="138">
        <v>3.65</v>
      </c>
      <c r="M29" s="138">
        <v>0.3</v>
      </c>
      <c r="N29" s="138">
        <v>0</v>
      </c>
      <c r="O29" s="138">
        <v>0.3</v>
      </c>
      <c r="P29" s="138">
        <v>0.3</v>
      </c>
      <c r="Q29" s="138">
        <f t="shared" si="2"/>
        <v>4.55</v>
      </c>
      <c r="R29" s="138">
        <v>9.0500000000000007</v>
      </c>
      <c r="S29" s="138">
        <f t="shared" si="10"/>
        <v>9.9600000000000009</v>
      </c>
      <c r="T29" s="138">
        <v>17.5</v>
      </c>
      <c r="U29" s="138">
        <f t="shared" si="11"/>
        <v>4.5000000000000009</v>
      </c>
      <c r="V29" s="138">
        <f t="shared" si="3"/>
        <v>2.7000000000000006</v>
      </c>
      <c r="W29" s="138">
        <f t="shared" si="4"/>
        <v>1.8000000000000005</v>
      </c>
      <c r="Z29" s="132">
        <v>1</v>
      </c>
      <c r="AA29" s="132">
        <f t="shared" si="5"/>
        <v>8</v>
      </c>
      <c r="AB29" s="132">
        <v>5</v>
      </c>
      <c r="AC29" s="132">
        <v>24</v>
      </c>
      <c r="AD29" s="132">
        <f t="shared" si="6"/>
        <v>15</v>
      </c>
      <c r="AE29" s="132">
        <v>0.5</v>
      </c>
      <c r="AF29" s="132">
        <f t="shared" si="7"/>
        <v>0.55000000000000004</v>
      </c>
      <c r="AG29" s="132">
        <f t="shared" si="8"/>
        <v>13.200000000000001</v>
      </c>
      <c r="AK29" s="132">
        <v>4</v>
      </c>
      <c r="AS29" s="132">
        <f t="shared" si="12"/>
        <v>12.05</v>
      </c>
    </row>
    <row r="30" spans="1:45" x14ac:dyDescent="0.3">
      <c r="A30" s="137" t="s">
        <v>3</v>
      </c>
      <c r="B30" s="134" t="s">
        <v>132</v>
      </c>
      <c r="C30" s="134">
        <v>4</v>
      </c>
      <c r="D30" s="134" t="str">
        <f t="shared" si="9"/>
        <v>Sistema de Combustión</v>
      </c>
      <c r="E30" s="134">
        <v>1</v>
      </c>
      <c r="F30" s="134">
        <v>2130</v>
      </c>
      <c r="G30" s="134">
        <f t="shared" si="13"/>
        <v>400</v>
      </c>
      <c r="H30" s="134" t="s">
        <v>60</v>
      </c>
      <c r="I30" s="134" t="s">
        <v>198</v>
      </c>
      <c r="J30" s="141">
        <f t="shared" si="0"/>
        <v>2130</v>
      </c>
      <c r="K30" s="141">
        <f t="shared" si="0"/>
        <v>400</v>
      </c>
      <c r="L30" s="138">
        <v>3.95</v>
      </c>
      <c r="M30" s="138">
        <v>0.3</v>
      </c>
      <c r="N30" s="138">
        <v>0</v>
      </c>
      <c r="O30" s="138">
        <v>0.3</v>
      </c>
      <c r="P30" s="138">
        <v>0.3</v>
      </c>
      <c r="Q30" s="138">
        <f t="shared" si="2"/>
        <v>4.8499999999999996</v>
      </c>
      <c r="R30" s="138">
        <v>12.2</v>
      </c>
      <c r="S30" s="138">
        <f t="shared" si="10"/>
        <v>13.42</v>
      </c>
      <c r="T30" s="138">
        <v>20.3</v>
      </c>
      <c r="U30" s="138">
        <f t="shared" si="11"/>
        <v>7.35</v>
      </c>
      <c r="V30" s="138">
        <f t="shared" si="3"/>
        <v>4.4099999999999993</v>
      </c>
      <c r="W30" s="138">
        <f t="shared" si="4"/>
        <v>2.94</v>
      </c>
      <c r="Z30" s="132">
        <v>1</v>
      </c>
      <c r="AA30" s="132">
        <f t="shared" si="5"/>
        <v>8</v>
      </c>
      <c r="AB30" s="132">
        <v>5</v>
      </c>
      <c r="AC30" s="132">
        <v>24</v>
      </c>
      <c r="AD30" s="132">
        <f t="shared" si="6"/>
        <v>15</v>
      </c>
      <c r="AE30" s="132">
        <v>0.4</v>
      </c>
      <c r="AF30" s="132">
        <f t="shared" si="7"/>
        <v>0.44000000000000006</v>
      </c>
      <c r="AG30" s="132">
        <f t="shared" si="8"/>
        <v>10.560000000000002</v>
      </c>
      <c r="AJ30" s="132">
        <v>2</v>
      </c>
      <c r="AS30" s="132">
        <f t="shared" si="12"/>
        <v>16.239999999999998</v>
      </c>
    </row>
    <row r="31" spans="1:45" x14ac:dyDescent="0.3">
      <c r="A31" s="137" t="s">
        <v>3</v>
      </c>
      <c r="B31" s="134" t="s">
        <v>132</v>
      </c>
      <c r="C31" s="134">
        <v>4</v>
      </c>
      <c r="D31" s="134" t="str">
        <f t="shared" si="9"/>
        <v>Sistema de Combustión</v>
      </c>
      <c r="E31" s="134">
        <v>1</v>
      </c>
      <c r="F31" s="134">
        <v>2230</v>
      </c>
      <c r="G31" s="134">
        <f t="shared" si="13"/>
        <v>400</v>
      </c>
      <c r="H31" s="134" t="s">
        <v>199</v>
      </c>
      <c r="I31" s="134" t="s">
        <v>329</v>
      </c>
      <c r="J31" s="141">
        <f t="shared" si="0"/>
        <v>2230</v>
      </c>
      <c r="K31" s="141">
        <f t="shared" si="0"/>
        <v>400</v>
      </c>
      <c r="L31" s="138">
        <v>6.5</v>
      </c>
      <c r="M31" s="138">
        <v>0.3</v>
      </c>
      <c r="N31" s="138">
        <v>0</v>
      </c>
      <c r="O31" s="138">
        <v>0.3</v>
      </c>
      <c r="P31" s="138">
        <v>0.3</v>
      </c>
      <c r="Q31" s="138">
        <f t="shared" si="2"/>
        <v>7.3999999999999995</v>
      </c>
      <c r="R31" s="138">
        <v>17.899999999999999</v>
      </c>
      <c r="S31" s="138">
        <f t="shared" si="10"/>
        <v>19.690000000000001</v>
      </c>
      <c r="T31" s="138">
        <v>29.6</v>
      </c>
      <c r="U31" s="138">
        <f t="shared" si="11"/>
        <v>10.5</v>
      </c>
      <c r="V31" s="138">
        <f t="shared" si="3"/>
        <v>6.3</v>
      </c>
      <c r="W31" s="138">
        <f t="shared" si="4"/>
        <v>4.2</v>
      </c>
      <c r="Z31" s="132">
        <v>1</v>
      </c>
      <c r="AA31" s="132">
        <f t="shared" si="5"/>
        <v>8</v>
      </c>
      <c r="AB31" s="132">
        <v>5</v>
      </c>
      <c r="AC31" s="132">
        <v>24</v>
      </c>
      <c r="AD31" s="132">
        <f t="shared" si="6"/>
        <v>15</v>
      </c>
      <c r="AE31" s="132">
        <v>0.4</v>
      </c>
      <c r="AF31" s="132">
        <f t="shared" si="7"/>
        <v>0.44000000000000006</v>
      </c>
      <c r="AG31" s="132">
        <f t="shared" si="8"/>
        <v>10.560000000000002</v>
      </c>
      <c r="AJ31" s="132">
        <v>2</v>
      </c>
      <c r="AS31" s="132">
        <f t="shared" si="12"/>
        <v>23.82</v>
      </c>
    </row>
    <row r="32" spans="1:45" x14ac:dyDescent="0.3">
      <c r="A32" s="137" t="s">
        <v>3</v>
      </c>
      <c r="B32" s="134" t="s">
        <v>132</v>
      </c>
      <c r="C32" s="134">
        <v>4</v>
      </c>
      <c r="D32" s="134" t="str">
        <f t="shared" si="9"/>
        <v>Sistema de Combustión</v>
      </c>
      <c r="E32" s="134">
        <v>1</v>
      </c>
      <c r="F32" s="134">
        <v>2031</v>
      </c>
      <c r="G32" s="134">
        <f t="shared" si="13"/>
        <v>400</v>
      </c>
      <c r="H32" s="134" t="s">
        <v>61</v>
      </c>
      <c r="I32" s="134" t="s">
        <v>200</v>
      </c>
      <c r="J32" s="141">
        <f t="shared" si="0"/>
        <v>2031</v>
      </c>
      <c r="K32" s="141">
        <f t="shared" si="0"/>
        <v>400</v>
      </c>
      <c r="L32" s="138">
        <v>3.5</v>
      </c>
      <c r="M32" s="138">
        <v>0.3</v>
      </c>
      <c r="N32" s="138">
        <v>0</v>
      </c>
      <c r="O32" s="138">
        <v>0.3</v>
      </c>
      <c r="P32" s="138">
        <v>0.3</v>
      </c>
      <c r="Q32" s="138">
        <f t="shared" si="2"/>
        <v>4.3999999999999995</v>
      </c>
      <c r="R32" s="138">
        <v>9.0500000000000007</v>
      </c>
      <c r="S32" s="138">
        <f t="shared" si="10"/>
        <v>9.9600000000000009</v>
      </c>
      <c r="T32" s="138">
        <v>15.45</v>
      </c>
      <c r="U32" s="138">
        <f t="shared" si="11"/>
        <v>4.6500000000000012</v>
      </c>
      <c r="V32" s="138">
        <f t="shared" si="3"/>
        <v>2.7900000000000005</v>
      </c>
      <c r="W32" s="138">
        <f t="shared" si="4"/>
        <v>1.8600000000000005</v>
      </c>
      <c r="Z32" s="132">
        <v>1</v>
      </c>
      <c r="AA32" s="132">
        <f t="shared" si="5"/>
        <v>8</v>
      </c>
      <c r="AB32" s="132">
        <v>5</v>
      </c>
      <c r="AC32" s="132">
        <v>24</v>
      </c>
      <c r="AD32" s="132">
        <f t="shared" si="6"/>
        <v>15</v>
      </c>
      <c r="AE32" s="132">
        <v>0.4</v>
      </c>
      <c r="AF32" s="132">
        <f t="shared" si="7"/>
        <v>0.44000000000000006</v>
      </c>
      <c r="AG32" s="132">
        <f t="shared" si="8"/>
        <v>10.560000000000002</v>
      </c>
      <c r="AJ32" s="132">
        <v>12</v>
      </c>
      <c r="AS32" s="132">
        <f t="shared" si="12"/>
        <v>12.05</v>
      </c>
    </row>
    <row r="33" spans="1:45" x14ac:dyDescent="0.3">
      <c r="A33" s="137" t="s">
        <v>3</v>
      </c>
      <c r="B33" s="134" t="s">
        <v>132</v>
      </c>
      <c r="C33" s="134">
        <v>4</v>
      </c>
      <c r="D33" s="134" t="str">
        <f t="shared" si="9"/>
        <v>Sistema de Combustión</v>
      </c>
      <c r="E33" s="134">
        <v>1</v>
      </c>
      <c r="F33" s="134" t="s">
        <v>67</v>
      </c>
      <c r="G33" s="134">
        <f t="shared" si="13"/>
        <v>300</v>
      </c>
      <c r="H33" s="134" t="s">
        <v>66</v>
      </c>
      <c r="I33" s="134" t="s">
        <v>289</v>
      </c>
      <c r="J33" s="141" t="str">
        <f t="shared" si="0"/>
        <v>2032-300</v>
      </c>
      <c r="K33" s="141">
        <f t="shared" si="0"/>
        <v>300</v>
      </c>
      <c r="L33" s="138">
        <v>2.5499999999999998</v>
      </c>
      <c r="M33" s="138">
        <v>0.3</v>
      </c>
      <c r="N33" s="138">
        <v>0</v>
      </c>
      <c r="O33" s="138">
        <v>0.3</v>
      </c>
      <c r="P33" s="138">
        <v>0.3</v>
      </c>
      <c r="Q33" s="138">
        <f t="shared" si="2"/>
        <v>3.4499999999999993</v>
      </c>
      <c r="R33" s="138">
        <v>6.45</v>
      </c>
      <c r="S33" s="138">
        <f t="shared" si="10"/>
        <v>7.1</v>
      </c>
      <c r="T33" s="138">
        <v>11.4</v>
      </c>
      <c r="U33" s="138">
        <f t="shared" si="11"/>
        <v>3.0000000000000009</v>
      </c>
      <c r="V33" s="138">
        <f t="shared" si="3"/>
        <v>1.8000000000000005</v>
      </c>
      <c r="W33" s="138">
        <f t="shared" si="4"/>
        <v>1.2000000000000004</v>
      </c>
      <c r="Z33" s="132">
        <v>1</v>
      </c>
      <c r="AA33" s="132">
        <f t="shared" si="5"/>
        <v>8</v>
      </c>
      <c r="AB33" s="132">
        <v>5</v>
      </c>
      <c r="AC33" s="132">
        <v>24</v>
      </c>
      <c r="AD33" s="132">
        <f t="shared" si="6"/>
        <v>15</v>
      </c>
      <c r="AE33" s="132">
        <v>0.3</v>
      </c>
      <c r="AF33" s="132">
        <f t="shared" si="7"/>
        <v>0.33</v>
      </c>
      <c r="AG33" s="132">
        <f t="shared" si="8"/>
        <v>7.92</v>
      </c>
      <c r="AK33" s="132">
        <v>1</v>
      </c>
      <c r="AS33" s="132">
        <f t="shared" si="12"/>
        <v>8.59</v>
      </c>
    </row>
    <row r="34" spans="1:45" x14ac:dyDescent="0.3">
      <c r="A34" s="137" t="s">
        <v>3</v>
      </c>
      <c r="B34" s="134" t="s">
        <v>132</v>
      </c>
      <c r="C34" s="134">
        <v>4</v>
      </c>
      <c r="D34" s="134" t="str">
        <f t="shared" si="9"/>
        <v>Sistema de Combustión</v>
      </c>
      <c r="E34" s="134">
        <v>1</v>
      </c>
      <c r="F34" s="134">
        <v>2032</v>
      </c>
      <c r="G34" s="134">
        <f t="shared" si="13"/>
        <v>400</v>
      </c>
      <c r="H34" s="134" t="s">
        <v>66</v>
      </c>
      <c r="I34" s="134" t="s">
        <v>290</v>
      </c>
      <c r="J34" s="141">
        <f t="shared" si="0"/>
        <v>2032</v>
      </c>
      <c r="K34" s="141">
        <f t="shared" si="0"/>
        <v>400</v>
      </c>
      <c r="L34" s="138">
        <v>2.75</v>
      </c>
      <c r="M34" s="138">
        <v>0.3</v>
      </c>
      <c r="N34" s="138">
        <v>0</v>
      </c>
      <c r="O34" s="138">
        <v>0.3</v>
      </c>
      <c r="P34" s="138">
        <v>0.3</v>
      </c>
      <c r="Q34" s="138">
        <f t="shared" si="2"/>
        <v>3.6499999999999995</v>
      </c>
      <c r="R34" s="138">
        <v>7.5</v>
      </c>
      <c r="S34" s="138">
        <f t="shared" si="10"/>
        <v>8.25</v>
      </c>
      <c r="T34" s="138">
        <v>13.8</v>
      </c>
      <c r="U34" s="138">
        <f t="shared" si="11"/>
        <v>3.8500000000000005</v>
      </c>
      <c r="V34" s="138">
        <f t="shared" si="3"/>
        <v>2.31</v>
      </c>
      <c r="W34" s="138">
        <f t="shared" si="4"/>
        <v>1.5400000000000003</v>
      </c>
      <c r="Z34" s="132">
        <v>1</v>
      </c>
      <c r="AA34" s="132">
        <f t="shared" si="5"/>
        <v>8</v>
      </c>
      <c r="AB34" s="132">
        <v>5</v>
      </c>
      <c r="AC34" s="132">
        <v>24</v>
      </c>
      <c r="AD34" s="132">
        <f t="shared" si="6"/>
        <v>15</v>
      </c>
      <c r="AE34" s="132">
        <v>0.4</v>
      </c>
      <c r="AF34" s="132">
        <f t="shared" si="7"/>
        <v>0.44000000000000006</v>
      </c>
      <c r="AG34" s="132">
        <f t="shared" si="8"/>
        <v>10.560000000000002</v>
      </c>
      <c r="AK34" s="132">
        <v>1</v>
      </c>
      <c r="AS34" s="132">
        <f t="shared" si="12"/>
        <v>9.98</v>
      </c>
    </row>
    <row r="35" spans="1:45" x14ac:dyDescent="0.3">
      <c r="A35" s="137" t="s">
        <v>3</v>
      </c>
      <c r="B35" s="134" t="s">
        <v>132</v>
      </c>
      <c r="C35" s="134">
        <v>4</v>
      </c>
      <c r="D35" s="134" t="str">
        <f t="shared" si="9"/>
        <v>Sistema de Combustión</v>
      </c>
      <c r="E35" s="134">
        <v>1</v>
      </c>
      <c r="F35" s="132" t="s">
        <v>62</v>
      </c>
      <c r="G35" s="134">
        <f t="shared" si="13"/>
        <v>250</v>
      </c>
      <c r="H35" s="134" t="s">
        <v>63</v>
      </c>
      <c r="I35" s="134" t="s">
        <v>201</v>
      </c>
      <c r="J35" s="141" t="str">
        <f t="shared" si="0"/>
        <v>2032+</v>
      </c>
      <c r="K35" s="141">
        <f t="shared" si="0"/>
        <v>250</v>
      </c>
      <c r="L35" s="138">
        <v>3.6</v>
      </c>
      <c r="M35" s="138">
        <v>0.3</v>
      </c>
      <c r="N35" s="138">
        <v>0</v>
      </c>
      <c r="O35" s="138">
        <v>0.3</v>
      </c>
      <c r="P35" s="138">
        <v>0.3</v>
      </c>
      <c r="Q35" s="138">
        <f t="shared" si="2"/>
        <v>4.5</v>
      </c>
      <c r="R35" s="138">
        <v>8.9</v>
      </c>
      <c r="S35" s="138">
        <f t="shared" si="10"/>
        <v>9.7899999999999991</v>
      </c>
      <c r="T35" s="138">
        <v>17.3</v>
      </c>
      <c r="U35" s="138">
        <f t="shared" si="11"/>
        <v>4.4000000000000004</v>
      </c>
      <c r="V35" s="138">
        <f t="shared" si="3"/>
        <v>2.64</v>
      </c>
      <c r="W35" s="138">
        <f t="shared" si="4"/>
        <v>1.7600000000000002</v>
      </c>
      <c r="Z35" s="132">
        <v>1</v>
      </c>
      <c r="AA35" s="132">
        <f t="shared" si="5"/>
        <v>8</v>
      </c>
      <c r="AB35" s="132">
        <v>5</v>
      </c>
      <c r="AC35" s="132">
        <v>24</v>
      </c>
      <c r="AD35" s="132">
        <f t="shared" si="6"/>
        <v>15</v>
      </c>
      <c r="AE35" s="132">
        <v>0.25</v>
      </c>
      <c r="AF35" s="132">
        <f t="shared" si="7"/>
        <v>0.27500000000000002</v>
      </c>
      <c r="AG35" s="132">
        <f t="shared" si="8"/>
        <v>6.6000000000000005</v>
      </c>
      <c r="AK35" s="132">
        <v>5</v>
      </c>
      <c r="AS35" s="132">
        <f t="shared" si="12"/>
        <v>11.85</v>
      </c>
    </row>
    <row r="36" spans="1:45" x14ac:dyDescent="0.3">
      <c r="A36" s="137" t="s">
        <v>3</v>
      </c>
      <c r="B36" s="134" t="s">
        <v>132</v>
      </c>
      <c r="C36" s="134">
        <v>4</v>
      </c>
      <c r="D36" s="134" t="str">
        <f t="shared" si="9"/>
        <v>Sistema de Combustión</v>
      </c>
      <c r="E36" s="134">
        <v>1</v>
      </c>
      <c r="F36" s="132">
        <v>732</v>
      </c>
      <c r="G36" s="134">
        <f t="shared" si="13"/>
        <v>50</v>
      </c>
      <c r="H36" s="134" t="s">
        <v>64</v>
      </c>
      <c r="I36" s="134" t="s">
        <v>291</v>
      </c>
      <c r="J36" s="141">
        <f t="shared" si="0"/>
        <v>732</v>
      </c>
      <c r="K36" s="141">
        <f t="shared" si="0"/>
        <v>50</v>
      </c>
      <c r="L36" s="138">
        <v>1.2</v>
      </c>
      <c r="M36" s="138">
        <v>0.3</v>
      </c>
      <c r="N36" s="138">
        <v>0</v>
      </c>
      <c r="O36" s="138">
        <v>0.3</v>
      </c>
      <c r="P36" s="138">
        <v>0.3</v>
      </c>
      <c r="Q36" s="138">
        <f t="shared" si="2"/>
        <v>2.1</v>
      </c>
      <c r="R36" s="138">
        <v>2.4500000000000002</v>
      </c>
      <c r="S36" s="138">
        <f t="shared" si="10"/>
        <v>2.7</v>
      </c>
      <c r="U36" s="138">
        <f t="shared" si="11"/>
        <v>0.35000000000000009</v>
      </c>
      <c r="V36" s="138">
        <f t="shared" si="3"/>
        <v>0.21000000000000005</v>
      </c>
      <c r="W36" s="138">
        <f t="shared" si="4"/>
        <v>0.14000000000000004</v>
      </c>
      <c r="Z36" s="132">
        <v>1</v>
      </c>
      <c r="AA36" s="132">
        <f t="shared" si="5"/>
        <v>33</v>
      </c>
      <c r="AB36" s="132">
        <v>5</v>
      </c>
      <c r="AC36" s="132">
        <v>100</v>
      </c>
      <c r="AD36" s="132">
        <f t="shared" si="6"/>
        <v>0</v>
      </c>
      <c r="AE36" s="132">
        <v>0.05</v>
      </c>
      <c r="AF36" s="132">
        <f t="shared" si="7"/>
        <v>5.5000000000000007E-2</v>
      </c>
      <c r="AG36" s="132">
        <f t="shared" si="8"/>
        <v>5.5000000000000009</v>
      </c>
      <c r="AK36" s="132">
        <v>1</v>
      </c>
      <c r="AS36" s="132">
        <f t="shared" si="12"/>
        <v>3.27</v>
      </c>
    </row>
    <row r="37" spans="1:45" x14ac:dyDescent="0.3">
      <c r="A37" s="137" t="s">
        <v>3</v>
      </c>
      <c r="B37" s="134" t="s">
        <v>132</v>
      </c>
      <c r="C37" s="134">
        <v>4</v>
      </c>
      <c r="D37" s="134" t="str">
        <f t="shared" si="9"/>
        <v>Sistema de Combustión</v>
      </c>
      <c r="E37" s="134">
        <v>1</v>
      </c>
      <c r="F37" s="134" t="s">
        <v>118</v>
      </c>
      <c r="G37" s="134">
        <f t="shared" si="13"/>
        <v>400</v>
      </c>
      <c r="H37" s="134" t="s">
        <v>64</v>
      </c>
      <c r="I37" s="134" t="s">
        <v>292</v>
      </c>
      <c r="J37" s="141" t="str">
        <f t="shared" si="0"/>
        <v>732-400</v>
      </c>
      <c r="K37" s="141">
        <f t="shared" si="0"/>
        <v>400</v>
      </c>
      <c r="L37" s="138">
        <v>4.7</v>
      </c>
      <c r="M37" s="138">
        <v>0.3</v>
      </c>
      <c r="N37" s="138">
        <v>0</v>
      </c>
      <c r="O37" s="138">
        <v>0.3</v>
      </c>
      <c r="P37" s="138">
        <v>0.3</v>
      </c>
      <c r="Q37" s="138">
        <f t="shared" si="2"/>
        <v>5.6</v>
      </c>
      <c r="R37" s="138">
        <v>10.5</v>
      </c>
      <c r="S37" s="138">
        <f t="shared" si="10"/>
        <v>11.55</v>
      </c>
      <c r="U37" s="138">
        <f t="shared" si="11"/>
        <v>4.9000000000000004</v>
      </c>
      <c r="V37" s="138">
        <f t="shared" si="3"/>
        <v>2.94</v>
      </c>
      <c r="W37" s="138">
        <f t="shared" si="4"/>
        <v>1.9600000000000002</v>
      </c>
      <c r="Z37" s="132">
        <v>1</v>
      </c>
      <c r="AA37" s="132">
        <f t="shared" si="5"/>
        <v>4</v>
      </c>
      <c r="AB37" s="132">
        <v>5</v>
      </c>
      <c r="AC37" s="132">
        <v>12</v>
      </c>
      <c r="AD37" s="132">
        <f t="shared" si="6"/>
        <v>10</v>
      </c>
      <c r="AE37" s="132">
        <v>0.4</v>
      </c>
      <c r="AF37" s="132">
        <f t="shared" si="7"/>
        <v>0.44000000000000006</v>
      </c>
      <c r="AG37" s="132">
        <f t="shared" si="8"/>
        <v>5.2800000000000011</v>
      </c>
      <c r="AK37" s="132">
        <v>1</v>
      </c>
      <c r="AS37" s="132">
        <f t="shared" si="12"/>
        <v>13.98</v>
      </c>
    </row>
    <row r="38" spans="1:45" x14ac:dyDescent="0.3">
      <c r="A38" s="137" t="s">
        <v>3</v>
      </c>
      <c r="B38" s="134" t="s">
        <v>132</v>
      </c>
      <c r="C38" s="134">
        <v>4</v>
      </c>
      <c r="D38" s="134" t="str">
        <f t="shared" si="9"/>
        <v>Sistema de Combustión</v>
      </c>
      <c r="E38" s="134">
        <v>1</v>
      </c>
      <c r="F38" s="134">
        <v>2132</v>
      </c>
      <c r="G38" s="134">
        <f t="shared" si="13"/>
        <v>500</v>
      </c>
      <c r="H38" s="134" t="s">
        <v>65</v>
      </c>
      <c r="I38" s="134" t="s">
        <v>293</v>
      </c>
      <c r="J38" s="141">
        <f t="shared" si="0"/>
        <v>2132</v>
      </c>
      <c r="K38" s="141">
        <f t="shared" si="0"/>
        <v>500</v>
      </c>
      <c r="L38" s="138">
        <v>5.5</v>
      </c>
      <c r="M38" s="138">
        <v>0.3</v>
      </c>
      <c r="N38" s="138">
        <v>0</v>
      </c>
      <c r="O38" s="138">
        <v>0.3</v>
      </c>
      <c r="P38" s="138">
        <v>0.3</v>
      </c>
      <c r="Q38" s="138">
        <f t="shared" si="2"/>
        <v>6.3999999999999995</v>
      </c>
      <c r="R38" s="138">
        <v>16.399999999999999</v>
      </c>
      <c r="S38" s="138">
        <f t="shared" si="10"/>
        <v>18.04</v>
      </c>
      <c r="T38" s="138">
        <v>26.1</v>
      </c>
      <c r="U38" s="138">
        <f t="shared" si="11"/>
        <v>10</v>
      </c>
      <c r="V38" s="138">
        <f t="shared" si="3"/>
        <v>6</v>
      </c>
      <c r="W38" s="138">
        <f t="shared" si="4"/>
        <v>4</v>
      </c>
      <c r="Z38" s="132">
        <v>1</v>
      </c>
      <c r="AA38" s="132">
        <f t="shared" si="5"/>
        <v>8</v>
      </c>
      <c r="AB38" s="132">
        <v>5</v>
      </c>
      <c r="AC38" s="132">
        <v>24</v>
      </c>
      <c r="AD38" s="132">
        <f t="shared" si="6"/>
        <v>15</v>
      </c>
      <c r="AE38" s="132">
        <v>0.5</v>
      </c>
      <c r="AF38" s="132">
        <f t="shared" si="7"/>
        <v>0.55000000000000004</v>
      </c>
      <c r="AG38" s="132">
        <f t="shared" si="8"/>
        <v>13.200000000000001</v>
      </c>
      <c r="AK38" s="132">
        <v>10</v>
      </c>
      <c r="AS38" s="132">
        <f t="shared" si="12"/>
        <v>21.83</v>
      </c>
    </row>
    <row r="39" spans="1:45" x14ac:dyDescent="0.3">
      <c r="A39" s="137" t="s">
        <v>3</v>
      </c>
      <c r="B39" s="134" t="s">
        <v>132</v>
      </c>
      <c r="C39" s="134">
        <v>4</v>
      </c>
      <c r="D39" s="134" t="str">
        <f t="shared" si="9"/>
        <v>Sistema de Combustión</v>
      </c>
      <c r="E39" s="134"/>
      <c r="F39" s="134" t="s">
        <v>142</v>
      </c>
      <c r="G39" s="134">
        <f t="shared" si="13"/>
        <v>300</v>
      </c>
      <c r="H39" s="134" t="s">
        <v>65</v>
      </c>
      <c r="I39" s="134" t="s">
        <v>294</v>
      </c>
      <c r="J39" s="141" t="str">
        <f t="shared" si="0"/>
        <v>2132-300</v>
      </c>
      <c r="K39" s="141">
        <f t="shared" si="0"/>
        <v>300</v>
      </c>
      <c r="L39" s="138">
        <v>3.9</v>
      </c>
      <c r="M39" s="138">
        <v>0.3</v>
      </c>
      <c r="N39" s="138">
        <v>0</v>
      </c>
      <c r="O39" s="138">
        <v>0.3</v>
      </c>
      <c r="P39" s="138">
        <v>0.3</v>
      </c>
      <c r="Q39" s="138">
        <f t="shared" si="2"/>
        <v>4.8</v>
      </c>
      <c r="R39" s="138">
        <v>9.8000000000000007</v>
      </c>
      <c r="S39" s="138">
        <f t="shared" si="10"/>
        <v>10.78</v>
      </c>
      <c r="T39" s="138">
        <v>18.3</v>
      </c>
      <c r="U39" s="138">
        <f t="shared" si="11"/>
        <v>5.0000000000000009</v>
      </c>
      <c r="V39" s="138">
        <f t="shared" si="3"/>
        <v>3.0000000000000004</v>
      </c>
      <c r="W39" s="138">
        <f t="shared" si="4"/>
        <v>2.0000000000000004</v>
      </c>
      <c r="Z39" s="132">
        <v>1</v>
      </c>
      <c r="AA39" s="132">
        <f t="shared" si="5"/>
        <v>8</v>
      </c>
      <c r="AB39" s="132">
        <v>5</v>
      </c>
      <c r="AC39" s="132">
        <v>24</v>
      </c>
      <c r="AD39" s="132">
        <f t="shared" si="6"/>
        <v>15</v>
      </c>
      <c r="AE39" s="132">
        <v>0.3</v>
      </c>
      <c r="AF39" s="132">
        <f t="shared" si="7"/>
        <v>0.33</v>
      </c>
      <c r="AG39" s="132">
        <f t="shared" si="8"/>
        <v>7.92</v>
      </c>
      <c r="AS39" s="132">
        <f t="shared" si="12"/>
        <v>13.04</v>
      </c>
    </row>
    <row r="40" spans="1:45" x14ac:dyDescent="0.3">
      <c r="A40" s="137" t="s">
        <v>3</v>
      </c>
      <c r="B40" s="134" t="s">
        <v>132</v>
      </c>
      <c r="C40" s="134">
        <v>4</v>
      </c>
      <c r="D40" s="134" t="str">
        <f t="shared" si="9"/>
        <v>Sistema de Combustión</v>
      </c>
      <c r="E40" s="134">
        <v>1</v>
      </c>
      <c r="F40" s="132">
        <v>2232</v>
      </c>
      <c r="G40" s="134">
        <f t="shared" si="13"/>
        <v>500</v>
      </c>
      <c r="H40" s="134" t="s">
        <v>68</v>
      </c>
      <c r="I40" s="134" t="s">
        <v>203</v>
      </c>
      <c r="J40" s="141">
        <f t="shared" si="0"/>
        <v>2232</v>
      </c>
      <c r="K40" s="141">
        <f t="shared" si="0"/>
        <v>500</v>
      </c>
      <c r="L40" s="138">
        <v>6.85</v>
      </c>
      <c r="M40" s="138">
        <v>0.3</v>
      </c>
      <c r="N40" s="138">
        <v>0</v>
      </c>
      <c r="O40" s="138">
        <v>0.3</v>
      </c>
      <c r="P40" s="138">
        <v>0.3</v>
      </c>
      <c r="Q40" s="138">
        <f t="shared" si="2"/>
        <v>7.7499999999999991</v>
      </c>
      <c r="R40" s="138">
        <v>18.3</v>
      </c>
      <c r="S40" s="138">
        <f t="shared" si="10"/>
        <v>20.13</v>
      </c>
      <c r="T40" s="138">
        <v>30</v>
      </c>
      <c r="U40" s="138">
        <f t="shared" si="11"/>
        <v>10.55</v>
      </c>
      <c r="V40" s="138">
        <f t="shared" si="3"/>
        <v>6.33</v>
      </c>
      <c r="W40" s="138">
        <f t="shared" si="4"/>
        <v>4.2200000000000006</v>
      </c>
      <c r="Z40" s="132">
        <v>1</v>
      </c>
      <c r="AA40" s="132">
        <f t="shared" si="5"/>
        <v>4</v>
      </c>
      <c r="AB40" s="132">
        <v>5</v>
      </c>
      <c r="AC40" s="132">
        <v>12</v>
      </c>
      <c r="AD40" s="132">
        <f t="shared" si="6"/>
        <v>10</v>
      </c>
      <c r="AE40" s="132">
        <v>0.5</v>
      </c>
      <c r="AF40" s="132">
        <f t="shared" si="7"/>
        <v>0.55000000000000004</v>
      </c>
      <c r="AG40" s="132">
        <f t="shared" si="8"/>
        <v>6.6000000000000005</v>
      </c>
      <c r="AJ40" s="132">
        <v>6</v>
      </c>
      <c r="AS40" s="132">
        <f t="shared" si="12"/>
        <v>24.36</v>
      </c>
    </row>
    <row r="41" spans="1:45" x14ac:dyDescent="0.3">
      <c r="A41" s="137" t="s">
        <v>3</v>
      </c>
      <c r="B41" s="134" t="s">
        <v>132</v>
      </c>
      <c r="C41" s="134">
        <v>4</v>
      </c>
      <c r="D41" s="134" t="str">
        <f t="shared" si="9"/>
        <v>Sistema de Combustión</v>
      </c>
      <c r="E41" s="134">
        <v>1</v>
      </c>
      <c r="F41" s="132">
        <v>39000</v>
      </c>
      <c r="G41" s="134">
        <f t="shared" si="13"/>
        <v>2000</v>
      </c>
      <c r="H41" s="134" t="s">
        <v>69</v>
      </c>
      <c r="I41" s="134" t="s">
        <v>204</v>
      </c>
      <c r="J41" s="141">
        <f t="shared" ref="J41:K72" si="14">F41</f>
        <v>39000</v>
      </c>
      <c r="K41" s="141" t="s">
        <v>246</v>
      </c>
      <c r="L41" s="138">
        <v>135</v>
      </c>
      <c r="M41" s="138">
        <v>0.3</v>
      </c>
      <c r="N41" s="138">
        <v>0</v>
      </c>
      <c r="O41" s="138">
        <v>0.3</v>
      </c>
      <c r="P41" s="138">
        <v>0.3</v>
      </c>
      <c r="Q41" s="138">
        <f t="shared" si="2"/>
        <v>135.90000000000003</v>
      </c>
      <c r="R41" s="138">
        <v>170</v>
      </c>
      <c r="S41" s="138">
        <f t="shared" si="10"/>
        <v>187</v>
      </c>
      <c r="U41" s="138">
        <f t="shared" si="11"/>
        <v>34.099999999999966</v>
      </c>
      <c r="V41" s="138">
        <f t="shared" si="3"/>
        <v>20.45999999999998</v>
      </c>
      <c r="W41" s="138">
        <f t="shared" si="4"/>
        <v>13.639999999999986</v>
      </c>
      <c r="Z41" s="132">
        <v>1</v>
      </c>
      <c r="AA41" s="132">
        <f t="shared" si="5"/>
        <v>0</v>
      </c>
      <c r="AB41" s="132">
        <v>5</v>
      </c>
      <c r="AC41" s="132">
        <v>1</v>
      </c>
      <c r="AD41" s="132">
        <f t="shared" si="6"/>
        <v>0</v>
      </c>
      <c r="AE41" s="132">
        <v>2</v>
      </c>
      <c r="AF41" s="132">
        <f t="shared" si="7"/>
        <v>2.2000000000000002</v>
      </c>
      <c r="AG41" s="132">
        <f t="shared" si="8"/>
        <v>2.2000000000000002</v>
      </c>
      <c r="AJ41" s="132">
        <v>1</v>
      </c>
      <c r="AS41" s="132">
        <f t="shared" si="12"/>
        <v>226.27</v>
      </c>
    </row>
    <row r="42" spans="1:45" x14ac:dyDescent="0.3">
      <c r="A42" s="137" t="s">
        <v>3</v>
      </c>
      <c r="B42" s="134" t="s">
        <v>132</v>
      </c>
      <c r="C42" s="134">
        <v>4</v>
      </c>
      <c r="D42" s="134" t="str">
        <f t="shared" si="9"/>
        <v>Sistema de Combustión</v>
      </c>
      <c r="E42" s="134">
        <v>1</v>
      </c>
      <c r="F42" s="132">
        <v>39001</v>
      </c>
      <c r="G42" s="134">
        <f t="shared" si="13"/>
        <v>100</v>
      </c>
      <c r="H42" s="134" t="s">
        <v>70</v>
      </c>
      <c r="I42" s="134" t="s">
        <v>320</v>
      </c>
      <c r="J42" s="141">
        <f t="shared" si="14"/>
        <v>39001</v>
      </c>
      <c r="K42" s="141" t="s">
        <v>246</v>
      </c>
      <c r="L42" s="138">
        <v>20</v>
      </c>
      <c r="M42" s="138">
        <v>0.3</v>
      </c>
      <c r="N42" s="138">
        <v>0</v>
      </c>
      <c r="O42" s="138">
        <v>0.3</v>
      </c>
      <c r="P42" s="138">
        <v>0.3</v>
      </c>
      <c r="Q42" s="138">
        <f t="shared" si="2"/>
        <v>20.900000000000002</v>
      </c>
      <c r="R42" s="138">
        <v>30.95</v>
      </c>
      <c r="S42" s="138">
        <f t="shared" si="10"/>
        <v>34.049999999999997</v>
      </c>
      <c r="U42" s="138">
        <f t="shared" si="11"/>
        <v>10.049999999999997</v>
      </c>
      <c r="V42" s="138">
        <f t="shared" si="3"/>
        <v>6.0299999999999985</v>
      </c>
      <c r="W42" s="138">
        <f t="shared" si="4"/>
        <v>4.0199999999999987</v>
      </c>
      <c r="Z42" s="132">
        <v>1</v>
      </c>
      <c r="AA42" s="132">
        <f t="shared" si="5"/>
        <v>0</v>
      </c>
      <c r="AB42" s="132">
        <v>5</v>
      </c>
      <c r="AC42" s="132">
        <v>1</v>
      </c>
      <c r="AD42" s="132">
        <f t="shared" si="6"/>
        <v>0</v>
      </c>
      <c r="AE42" s="132">
        <v>0.1</v>
      </c>
      <c r="AF42" s="132">
        <f t="shared" si="7"/>
        <v>0.11000000000000001</v>
      </c>
      <c r="AG42" s="132">
        <f t="shared" si="8"/>
        <v>0.11000000000000001</v>
      </c>
      <c r="AJ42" s="132">
        <v>2</v>
      </c>
      <c r="AS42" s="132">
        <f t="shared" si="12"/>
        <v>41.2</v>
      </c>
    </row>
    <row r="43" spans="1:45" x14ac:dyDescent="0.3">
      <c r="A43" s="137" t="s">
        <v>3</v>
      </c>
      <c r="B43" s="134" t="s">
        <v>132</v>
      </c>
      <c r="C43" s="134">
        <v>4</v>
      </c>
      <c r="D43" s="134" t="str">
        <f t="shared" si="9"/>
        <v>Sistema de Combustión</v>
      </c>
      <c r="E43" s="134">
        <v>1</v>
      </c>
      <c r="F43" s="132">
        <v>2033</v>
      </c>
      <c r="G43" s="134">
        <f t="shared" si="13"/>
        <v>400</v>
      </c>
      <c r="H43" s="134" t="s">
        <v>71</v>
      </c>
      <c r="I43" s="134" t="s">
        <v>319</v>
      </c>
      <c r="J43" s="141">
        <f t="shared" si="14"/>
        <v>2033</v>
      </c>
      <c r="K43" s="141">
        <f t="shared" si="14"/>
        <v>400</v>
      </c>
      <c r="L43" s="138">
        <v>4.9000000000000004</v>
      </c>
      <c r="M43" s="138">
        <v>0.3</v>
      </c>
      <c r="N43" s="138">
        <v>0</v>
      </c>
      <c r="O43" s="138">
        <v>0.3</v>
      </c>
      <c r="P43" s="138">
        <v>0.3</v>
      </c>
      <c r="Q43" s="138">
        <f t="shared" si="2"/>
        <v>5.8</v>
      </c>
      <c r="R43" s="138">
        <v>9.1999999999999993</v>
      </c>
      <c r="S43" s="138">
        <f t="shared" si="10"/>
        <v>10.119999999999999</v>
      </c>
      <c r="T43" s="138">
        <v>16.95</v>
      </c>
      <c r="U43" s="138">
        <f t="shared" si="11"/>
        <v>3.3999999999999995</v>
      </c>
      <c r="V43" s="138">
        <f t="shared" si="3"/>
        <v>2.0399999999999996</v>
      </c>
      <c r="W43" s="138">
        <f t="shared" si="4"/>
        <v>1.3599999999999999</v>
      </c>
      <c r="Z43" s="132">
        <v>1</v>
      </c>
      <c r="AA43" s="132">
        <f t="shared" si="5"/>
        <v>8</v>
      </c>
      <c r="AB43" s="132">
        <v>5</v>
      </c>
      <c r="AC43" s="132">
        <v>24</v>
      </c>
      <c r="AD43" s="132">
        <f t="shared" si="6"/>
        <v>15</v>
      </c>
      <c r="AE43" s="132">
        <v>0.4</v>
      </c>
      <c r="AF43" s="132">
        <f t="shared" si="7"/>
        <v>0.44000000000000006</v>
      </c>
      <c r="AG43" s="132">
        <f t="shared" si="8"/>
        <v>10.560000000000002</v>
      </c>
      <c r="AJ43" s="132">
        <v>4</v>
      </c>
      <c r="AS43" s="132">
        <f t="shared" si="12"/>
        <v>12.25</v>
      </c>
    </row>
    <row r="44" spans="1:45" x14ac:dyDescent="0.3">
      <c r="A44" s="137" t="s">
        <v>3</v>
      </c>
      <c r="B44" s="134" t="s">
        <v>132</v>
      </c>
      <c r="C44" s="134">
        <v>4</v>
      </c>
      <c r="D44" s="134" t="str">
        <f t="shared" si="9"/>
        <v>Sistema de Combustión</v>
      </c>
      <c r="E44" s="134">
        <v>0</v>
      </c>
      <c r="F44" s="132">
        <v>2034</v>
      </c>
      <c r="G44" s="134">
        <f t="shared" si="13"/>
        <v>500</v>
      </c>
      <c r="H44" s="134" t="s">
        <v>72</v>
      </c>
      <c r="I44" s="134" t="s">
        <v>295</v>
      </c>
      <c r="J44" s="141">
        <f t="shared" si="14"/>
        <v>2034</v>
      </c>
      <c r="K44" s="141">
        <f t="shared" si="14"/>
        <v>500</v>
      </c>
      <c r="L44" s="138">
        <v>4.75</v>
      </c>
      <c r="M44" s="138">
        <v>0.3</v>
      </c>
      <c r="N44" s="138">
        <v>0</v>
      </c>
      <c r="O44" s="138">
        <v>0.3</v>
      </c>
      <c r="P44" s="138">
        <v>0.3</v>
      </c>
      <c r="Q44" s="138">
        <f t="shared" si="2"/>
        <v>5.6499999999999995</v>
      </c>
      <c r="R44" s="138">
        <v>14.6</v>
      </c>
      <c r="S44" s="138">
        <f t="shared" si="10"/>
        <v>16.059999999999999</v>
      </c>
      <c r="T44" s="138">
        <v>25.6</v>
      </c>
      <c r="U44" s="138">
        <f t="shared" si="11"/>
        <v>8.9499999999999993</v>
      </c>
      <c r="V44" s="138">
        <f t="shared" si="3"/>
        <v>5.3699999999999992</v>
      </c>
      <c r="W44" s="138">
        <f t="shared" si="4"/>
        <v>3.58</v>
      </c>
      <c r="Z44" s="132">
        <v>1</v>
      </c>
      <c r="AA44" s="132">
        <f t="shared" si="5"/>
        <v>8</v>
      </c>
      <c r="AB44" s="132">
        <v>5</v>
      </c>
      <c r="AC44" s="132">
        <v>24</v>
      </c>
      <c r="AD44" s="132">
        <f t="shared" si="6"/>
        <v>15</v>
      </c>
      <c r="AE44" s="132">
        <v>0.5</v>
      </c>
      <c r="AF44" s="132">
        <f t="shared" si="7"/>
        <v>0.55000000000000004</v>
      </c>
      <c r="AG44" s="132">
        <f t="shared" si="8"/>
        <v>13.200000000000001</v>
      </c>
      <c r="AK44" s="132">
        <v>2</v>
      </c>
      <c r="AS44" s="132">
        <f t="shared" si="12"/>
        <v>19.43</v>
      </c>
    </row>
    <row r="45" spans="1:45" x14ac:dyDescent="0.3">
      <c r="A45" s="137" t="s">
        <v>3</v>
      </c>
      <c r="B45" s="134" t="s">
        <v>132</v>
      </c>
      <c r="C45" s="134">
        <v>4</v>
      </c>
      <c r="D45" s="134" t="str">
        <f t="shared" si="9"/>
        <v>Sistema de Combustión</v>
      </c>
      <c r="E45" s="134">
        <v>0</v>
      </c>
      <c r="F45" s="134" t="s">
        <v>73</v>
      </c>
      <c r="G45" s="134">
        <f t="shared" si="13"/>
        <v>300</v>
      </c>
      <c r="H45" s="134" t="s">
        <v>72</v>
      </c>
      <c r="I45" s="134" t="s">
        <v>296</v>
      </c>
      <c r="J45" s="141" t="str">
        <f t="shared" si="14"/>
        <v>2034-300</v>
      </c>
      <c r="K45" s="141">
        <f t="shared" si="14"/>
        <v>300</v>
      </c>
      <c r="L45" s="138">
        <v>3.5</v>
      </c>
      <c r="M45" s="138">
        <v>0.3</v>
      </c>
      <c r="N45" s="138">
        <v>0</v>
      </c>
      <c r="O45" s="138">
        <v>0.3</v>
      </c>
      <c r="P45" s="138">
        <v>0.3</v>
      </c>
      <c r="Q45" s="138">
        <f t="shared" si="2"/>
        <v>4.3999999999999995</v>
      </c>
      <c r="R45" s="138">
        <v>8.75</v>
      </c>
      <c r="S45" s="138">
        <f t="shared" si="10"/>
        <v>9.6300000000000008</v>
      </c>
      <c r="T45" s="138">
        <v>15.4</v>
      </c>
      <c r="U45" s="138">
        <f t="shared" si="11"/>
        <v>4.3500000000000005</v>
      </c>
      <c r="V45" s="138">
        <f t="shared" si="3"/>
        <v>2.6100000000000003</v>
      </c>
      <c r="W45" s="138">
        <f t="shared" si="4"/>
        <v>1.7400000000000002</v>
      </c>
      <c r="Z45" s="132">
        <v>1</v>
      </c>
      <c r="AA45" s="132">
        <f t="shared" si="5"/>
        <v>8</v>
      </c>
      <c r="AB45" s="132">
        <v>5</v>
      </c>
      <c r="AC45" s="132">
        <v>24</v>
      </c>
      <c r="AD45" s="132">
        <f t="shared" si="6"/>
        <v>15</v>
      </c>
      <c r="AE45" s="132">
        <v>0.3</v>
      </c>
      <c r="AF45" s="132">
        <f t="shared" si="7"/>
        <v>0.33</v>
      </c>
      <c r="AG45" s="132">
        <f t="shared" si="8"/>
        <v>7.92</v>
      </c>
      <c r="AK45" s="132">
        <v>2</v>
      </c>
      <c r="AS45" s="132">
        <f t="shared" si="12"/>
        <v>11.65</v>
      </c>
    </row>
    <row r="46" spans="1:45" x14ac:dyDescent="0.3">
      <c r="A46" s="137" t="s">
        <v>3</v>
      </c>
      <c r="B46" s="134" t="s">
        <v>132</v>
      </c>
      <c r="C46" s="134">
        <v>4</v>
      </c>
      <c r="D46" s="134" t="str">
        <f t="shared" si="9"/>
        <v>Sistema de Combustión</v>
      </c>
      <c r="F46" s="132">
        <v>2036</v>
      </c>
      <c r="G46" s="134">
        <f t="shared" si="13"/>
        <v>400</v>
      </c>
      <c r="H46" s="134" t="s">
        <v>119</v>
      </c>
      <c r="I46" s="134" t="s">
        <v>297</v>
      </c>
      <c r="J46" s="141">
        <f t="shared" si="14"/>
        <v>2036</v>
      </c>
      <c r="K46" s="141">
        <f t="shared" si="14"/>
        <v>400</v>
      </c>
      <c r="L46" s="138">
        <v>2.8</v>
      </c>
      <c r="M46" s="138">
        <v>0.3</v>
      </c>
      <c r="N46" s="138">
        <v>0</v>
      </c>
      <c r="O46" s="138">
        <v>0.3</v>
      </c>
      <c r="P46" s="138">
        <v>0.3</v>
      </c>
      <c r="Q46" s="138">
        <f t="shared" si="2"/>
        <v>3.6999999999999993</v>
      </c>
      <c r="R46" s="138">
        <v>7.3</v>
      </c>
      <c r="S46" s="138">
        <f t="shared" si="10"/>
        <v>8.0299999999999994</v>
      </c>
      <c r="T46" s="138">
        <v>14</v>
      </c>
      <c r="U46" s="138">
        <f t="shared" si="11"/>
        <v>3.6000000000000005</v>
      </c>
      <c r="V46" s="138">
        <f t="shared" si="3"/>
        <v>2.16</v>
      </c>
      <c r="W46" s="138">
        <f t="shared" si="4"/>
        <v>1.4400000000000004</v>
      </c>
      <c r="Z46" s="132">
        <v>1</v>
      </c>
      <c r="AA46" s="132">
        <f t="shared" si="5"/>
        <v>8</v>
      </c>
      <c r="AB46" s="132">
        <v>5</v>
      </c>
      <c r="AC46" s="132">
        <v>24</v>
      </c>
      <c r="AD46" s="132">
        <f t="shared" si="6"/>
        <v>15</v>
      </c>
      <c r="AE46" s="132">
        <v>0.4</v>
      </c>
      <c r="AF46" s="132">
        <f t="shared" si="7"/>
        <v>0.44000000000000006</v>
      </c>
      <c r="AG46" s="132">
        <f t="shared" si="8"/>
        <v>10.560000000000002</v>
      </c>
      <c r="AS46" s="132">
        <f t="shared" si="12"/>
        <v>9.7200000000000006</v>
      </c>
    </row>
    <row r="47" spans="1:45" x14ac:dyDescent="0.3">
      <c r="A47" s="137" t="s">
        <v>3</v>
      </c>
      <c r="B47" s="134" t="s">
        <v>132</v>
      </c>
      <c r="C47" s="134">
        <v>4</v>
      </c>
      <c r="D47" s="134" t="str">
        <f t="shared" si="9"/>
        <v>Sistema de Combustión</v>
      </c>
      <c r="F47" s="134" t="s">
        <v>120</v>
      </c>
      <c r="G47" s="134">
        <f t="shared" si="13"/>
        <v>300</v>
      </c>
      <c r="H47" s="134" t="s">
        <v>119</v>
      </c>
      <c r="I47" s="134" t="s">
        <v>298</v>
      </c>
      <c r="J47" s="141" t="str">
        <f t="shared" si="14"/>
        <v>2036-300</v>
      </c>
      <c r="K47" s="141">
        <f t="shared" si="14"/>
        <v>300</v>
      </c>
      <c r="L47" s="138">
        <v>2.6</v>
      </c>
      <c r="M47" s="138">
        <v>0.3</v>
      </c>
      <c r="N47" s="138">
        <v>0</v>
      </c>
      <c r="O47" s="138">
        <v>0.3</v>
      </c>
      <c r="P47" s="138">
        <v>0.3</v>
      </c>
      <c r="Q47" s="138">
        <f t="shared" si="2"/>
        <v>3.4999999999999996</v>
      </c>
      <c r="R47" s="138">
        <v>5.7</v>
      </c>
      <c r="S47" s="138">
        <f t="shared" si="10"/>
        <v>6.27</v>
      </c>
      <c r="T47" s="138">
        <v>11</v>
      </c>
      <c r="U47" s="138">
        <f t="shared" si="11"/>
        <v>2.2000000000000006</v>
      </c>
      <c r="V47" s="138">
        <f t="shared" si="3"/>
        <v>1.3200000000000003</v>
      </c>
      <c r="W47" s="138">
        <f t="shared" si="4"/>
        <v>0.88000000000000034</v>
      </c>
      <c r="Z47" s="132">
        <v>1</v>
      </c>
      <c r="AA47" s="132">
        <f t="shared" si="5"/>
        <v>8</v>
      </c>
      <c r="AB47" s="132">
        <v>5</v>
      </c>
      <c r="AC47" s="132">
        <v>24</v>
      </c>
      <c r="AD47" s="132">
        <f t="shared" si="6"/>
        <v>15</v>
      </c>
      <c r="AE47" s="132">
        <v>0.3</v>
      </c>
      <c r="AF47" s="132">
        <f t="shared" si="7"/>
        <v>0.33</v>
      </c>
      <c r="AG47" s="132">
        <f t="shared" si="8"/>
        <v>7.92</v>
      </c>
      <c r="AS47" s="132">
        <f t="shared" si="12"/>
        <v>7.59</v>
      </c>
    </row>
    <row r="48" spans="1:45" ht="15.75" customHeight="1" x14ac:dyDescent="0.3">
      <c r="A48" s="137" t="s">
        <v>3</v>
      </c>
      <c r="B48" s="134" t="s">
        <v>132</v>
      </c>
      <c r="C48" s="134">
        <v>4</v>
      </c>
      <c r="D48" s="134" t="str">
        <f t="shared" si="9"/>
        <v>Sistema de Combustión</v>
      </c>
      <c r="F48" s="132" t="s">
        <v>79</v>
      </c>
      <c r="G48" s="134">
        <f t="shared" si="13"/>
        <v>250</v>
      </c>
      <c r="H48" s="134" t="s">
        <v>80</v>
      </c>
      <c r="I48" s="134" t="s">
        <v>205</v>
      </c>
      <c r="J48" s="141" t="str">
        <f t="shared" si="14"/>
        <v>2036+</v>
      </c>
      <c r="K48" s="141">
        <f t="shared" si="14"/>
        <v>250</v>
      </c>
      <c r="L48" s="138">
        <v>3.75</v>
      </c>
      <c r="M48" s="138">
        <v>0.3</v>
      </c>
      <c r="N48" s="138">
        <v>0</v>
      </c>
      <c r="O48" s="138">
        <v>0.3</v>
      </c>
      <c r="P48" s="138">
        <v>0.3</v>
      </c>
      <c r="Q48" s="138">
        <f t="shared" si="2"/>
        <v>4.6499999999999995</v>
      </c>
      <c r="R48" s="138">
        <v>9.1</v>
      </c>
      <c r="S48" s="138">
        <f t="shared" si="10"/>
        <v>10.01</v>
      </c>
      <c r="T48" s="138">
        <v>17.899999999999999</v>
      </c>
      <c r="U48" s="138">
        <f t="shared" si="11"/>
        <v>4.45</v>
      </c>
      <c r="V48" s="138">
        <f t="shared" si="3"/>
        <v>2.67</v>
      </c>
      <c r="W48" s="138">
        <f t="shared" si="4"/>
        <v>1.7800000000000002</v>
      </c>
      <c r="Z48" s="132">
        <v>1</v>
      </c>
      <c r="AA48" s="132">
        <f t="shared" si="5"/>
        <v>8</v>
      </c>
      <c r="AB48" s="132">
        <v>5</v>
      </c>
      <c r="AC48" s="132">
        <v>24</v>
      </c>
      <c r="AD48" s="132">
        <f t="shared" si="6"/>
        <v>15</v>
      </c>
      <c r="AE48" s="132">
        <v>0.25</v>
      </c>
      <c r="AF48" s="132">
        <f t="shared" si="7"/>
        <v>0.27500000000000002</v>
      </c>
      <c r="AG48" s="132">
        <f t="shared" si="8"/>
        <v>6.6000000000000005</v>
      </c>
      <c r="AS48" s="132">
        <f t="shared" si="12"/>
        <v>12.11</v>
      </c>
    </row>
    <row r="49" spans="1:45" x14ac:dyDescent="0.3">
      <c r="A49" s="137" t="s">
        <v>3</v>
      </c>
      <c r="B49" s="134" t="s">
        <v>132</v>
      </c>
      <c r="C49" s="134">
        <v>4</v>
      </c>
      <c r="D49" s="134" t="str">
        <f t="shared" si="9"/>
        <v>Sistema de Combustión</v>
      </c>
      <c r="F49" s="132">
        <v>2536</v>
      </c>
      <c r="G49" s="134">
        <f t="shared" si="13"/>
        <v>250</v>
      </c>
      <c r="H49" s="134" t="s">
        <v>144</v>
      </c>
      <c r="I49" s="134" t="s">
        <v>207</v>
      </c>
      <c r="J49" s="141">
        <f t="shared" si="14"/>
        <v>2536</v>
      </c>
      <c r="K49" s="141">
        <f t="shared" si="14"/>
        <v>250</v>
      </c>
      <c r="L49" s="138">
        <v>2.95</v>
      </c>
      <c r="M49" s="138">
        <v>0.3</v>
      </c>
      <c r="N49" s="138">
        <v>0</v>
      </c>
      <c r="O49" s="138">
        <v>0.3</v>
      </c>
      <c r="P49" s="138">
        <v>0.3</v>
      </c>
      <c r="Q49" s="138">
        <f t="shared" si="2"/>
        <v>3.8499999999999996</v>
      </c>
      <c r="R49" s="138">
        <v>9.9499999999999993</v>
      </c>
      <c r="S49" s="138">
        <f t="shared" si="10"/>
        <v>10.95</v>
      </c>
      <c r="T49" s="138">
        <v>18.399999999999999</v>
      </c>
      <c r="U49" s="138">
        <f t="shared" si="11"/>
        <v>6.1</v>
      </c>
      <c r="V49" s="138">
        <f t="shared" si="3"/>
        <v>3.6599999999999997</v>
      </c>
      <c r="W49" s="138">
        <f t="shared" si="4"/>
        <v>2.44</v>
      </c>
      <c r="Z49" s="132">
        <v>1</v>
      </c>
      <c r="AA49" s="132">
        <f t="shared" si="5"/>
        <v>8</v>
      </c>
      <c r="AB49" s="132">
        <v>5</v>
      </c>
      <c r="AC49" s="132">
        <v>24</v>
      </c>
      <c r="AD49" s="132">
        <f t="shared" si="6"/>
        <v>15</v>
      </c>
      <c r="AE49" s="132">
        <v>0.25</v>
      </c>
      <c r="AF49" s="132">
        <f t="shared" si="7"/>
        <v>0.27500000000000002</v>
      </c>
      <c r="AG49" s="132">
        <f t="shared" si="8"/>
        <v>6.6000000000000005</v>
      </c>
      <c r="AS49" s="132">
        <f t="shared" si="12"/>
        <v>13.25</v>
      </c>
    </row>
    <row r="50" spans="1:45" x14ac:dyDescent="0.3">
      <c r="A50" s="137" t="s">
        <v>3</v>
      </c>
      <c r="B50" s="134" t="s">
        <v>132</v>
      </c>
      <c r="C50" s="134">
        <v>4</v>
      </c>
      <c r="D50" s="134" t="str">
        <f t="shared" si="9"/>
        <v>Sistema de Combustión</v>
      </c>
      <c r="F50" s="132">
        <v>2038</v>
      </c>
      <c r="G50" s="134">
        <f t="shared" si="13"/>
        <v>400</v>
      </c>
      <c r="H50" s="134" t="s">
        <v>81</v>
      </c>
      <c r="I50" s="134" t="s">
        <v>208</v>
      </c>
      <c r="J50" s="141">
        <f t="shared" si="14"/>
        <v>2038</v>
      </c>
      <c r="K50" s="141">
        <f t="shared" si="14"/>
        <v>400</v>
      </c>
      <c r="L50" s="138">
        <v>4.5</v>
      </c>
      <c r="M50" s="138">
        <v>0.3</v>
      </c>
      <c r="N50" s="138">
        <v>0</v>
      </c>
      <c r="O50" s="138">
        <v>0.3</v>
      </c>
      <c r="P50" s="138">
        <v>0.3</v>
      </c>
      <c r="Q50" s="138">
        <f t="shared" si="2"/>
        <v>5.3999999999999995</v>
      </c>
      <c r="R50" s="138">
        <v>12.85</v>
      </c>
      <c r="S50" s="138">
        <f t="shared" si="10"/>
        <v>14.14</v>
      </c>
      <c r="U50" s="138">
        <f t="shared" si="11"/>
        <v>7.45</v>
      </c>
      <c r="V50" s="138">
        <f t="shared" si="3"/>
        <v>4.47</v>
      </c>
      <c r="W50" s="138">
        <f t="shared" si="4"/>
        <v>2.9800000000000004</v>
      </c>
      <c r="Z50" s="132">
        <v>1</v>
      </c>
      <c r="AA50" s="132">
        <f t="shared" si="5"/>
        <v>8</v>
      </c>
      <c r="AB50" s="132">
        <v>5</v>
      </c>
      <c r="AC50" s="132">
        <v>24</v>
      </c>
      <c r="AD50" s="132">
        <f t="shared" si="6"/>
        <v>15</v>
      </c>
      <c r="AE50" s="132">
        <v>0.4</v>
      </c>
      <c r="AF50" s="132">
        <f t="shared" si="7"/>
        <v>0.44000000000000006</v>
      </c>
      <c r="AG50" s="132">
        <f t="shared" si="8"/>
        <v>10.560000000000002</v>
      </c>
      <c r="AS50" s="132">
        <f t="shared" si="12"/>
        <v>17.11</v>
      </c>
    </row>
    <row r="51" spans="1:45" x14ac:dyDescent="0.3">
      <c r="A51" s="137" t="s">
        <v>3</v>
      </c>
      <c r="B51" s="134" t="s">
        <v>132</v>
      </c>
      <c r="C51" s="134">
        <v>5</v>
      </c>
      <c r="D51" s="134" t="str">
        <f t="shared" si="9"/>
        <v>Frenos</v>
      </c>
      <c r="F51" s="132">
        <v>2055</v>
      </c>
      <c r="G51" s="134">
        <f t="shared" si="13"/>
        <v>400</v>
      </c>
      <c r="H51" s="134" t="s">
        <v>83</v>
      </c>
      <c r="I51" s="134" t="s">
        <v>299</v>
      </c>
      <c r="J51" s="141">
        <f t="shared" si="14"/>
        <v>2055</v>
      </c>
      <c r="K51" s="141">
        <f t="shared" si="14"/>
        <v>400</v>
      </c>
      <c r="L51" s="138">
        <v>4.9000000000000004</v>
      </c>
      <c r="M51" s="138">
        <v>0.3</v>
      </c>
      <c r="N51" s="138">
        <v>0</v>
      </c>
      <c r="O51" s="138">
        <v>0.3</v>
      </c>
      <c r="P51" s="138">
        <v>0.3</v>
      </c>
      <c r="Q51" s="138">
        <f t="shared" si="2"/>
        <v>5.8</v>
      </c>
      <c r="R51" s="138">
        <v>11.8</v>
      </c>
      <c r="S51" s="138">
        <f t="shared" si="10"/>
        <v>12.98</v>
      </c>
      <c r="U51" s="138">
        <f t="shared" si="11"/>
        <v>6.0000000000000009</v>
      </c>
      <c r="V51" s="138">
        <f t="shared" si="3"/>
        <v>3.6000000000000005</v>
      </c>
      <c r="W51" s="138">
        <f t="shared" si="4"/>
        <v>2.4000000000000004</v>
      </c>
      <c r="Z51" s="132">
        <v>1</v>
      </c>
      <c r="AA51" s="132">
        <f t="shared" si="5"/>
        <v>8</v>
      </c>
      <c r="AB51" s="132">
        <v>5</v>
      </c>
      <c r="AC51" s="132">
        <v>24</v>
      </c>
      <c r="AD51" s="132">
        <f t="shared" si="6"/>
        <v>15</v>
      </c>
      <c r="AE51" s="132">
        <v>0.4</v>
      </c>
      <c r="AF51" s="132">
        <f t="shared" si="7"/>
        <v>0.44000000000000006</v>
      </c>
      <c r="AG51" s="132">
        <f t="shared" si="8"/>
        <v>10.560000000000002</v>
      </c>
      <c r="AS51" s="132">
        <f t="shared" si="12"/>
        <v>15.71</v>
      </c>
    </row>
    <row r="52" spans="1:45" x14ac:dyDescent="0.3">
      <c r="A52" s="137" t="s">
        <v>3</v>
      </c>
      <c r="B52" s="134" t="s">
        <v>132</v>
      </c>
      <c r="C52" s="134">
        <v>5</v>
      </c>
      <c r="D52" s="134" t="str">
        <f t="shared" si="9"/>
        <v>Frenos</v>
      </c>
      <c r="F52" s="132">
        <v>2057</v>
      </c>
      <c r="G52" s="134">
        <f t="shared" si="13"/>
        <v>50</v>
      </c>
      <c r="H52" s="134" t="s">
        <v>83</v>
      </c>
      <c r="I52" s="134" t="s">
        <v>300</v>
      </c>
      <c r="J52" s="141">
        <f t="shared" si="14"/>
        <v>2057</v>
      </c>
      <c r="K52" s="141">
        <f t="shared" si="14"/>
        <v>50</v>
      </c>
      <c r="L52" s="138">
        <v>2.4500000000000002</v>
      </c>
      <c r="M52" s="138">
        <v>0.3</v>
      </c>
      <c r="N52" s="138">
        <v>0</v>
      </c>
      <c r="O52" s="138">
        <v>0.3</v>
      </c>
      <c r="P52" s="138">
        <v>0.3</v>
      </c>
      <c r="Q52" s="138">
        <f t="shared" si="2"/>
        <v>3.3499999999999996</v>
      </c>
      <c r="R52" s="138">
        <v>4.25</v>
      </c>
      <c r="S52" s="138">
        <f t="shared" si="10"/>
        <v>4.68</v>
      </c>
      <c r="U52" s="138">
        <f t="shared" si="11"/>
        <v>0.90000000000000036</v>
      </c>
      <c r="V52" s="138">
        <f t="shared" si="3"/>
        <v>0.54000000000000015</v>
      </c>
      <c r="W52" s="138">
        <f t="shared" si="4"/>
        <v>0.36000000000000015</v>
      </c>
      <c r="Z52" s="132">
        <v>1</v>
      </c>
      <c r="AA52" s="132">
        <f t="shared" si="5"/>
        <v>16</v>
      </c>
      <c r="AB52" s="132">
        <v>5</v>
      </c>
      <c r="AC52" s="132">
        <v>48</v>
      </c>
      <c r="AD52" s="132">
        <f t="shared" si="6"/>
        <v>0</v>
      </c>
      <c r="AE52" s="132">
        <v>0.05</v>
      </c>
      <c r="AF52" s="132">
        <f t="shared" si="7"/>
        <v>5.5000000000000007E-2</v>
      </c>
      <c r="AG52" s="132">
        <f t="shared" si="8"/>
        <v>2.6400000000000006</v>
      </c>
      <c r="AS52" s="132">
        <f t="shared" si="12"/>
        <v>5.66</v>
      </c>
    </row>
    <row r="53" spans="1:45" x14ac:dyDescent="0.3">
      <c r="A53" s="137" t="s">
        <v>3</v>
      </c>
      <c r="B53" s="134" t="s">
        <v>132</v>
      </c>
      <c r="C53" s="134">
        <v>5</v>
      </c>
      <c r="D53" s="134" t="str">
        <f t="shared" si="9"/>
        <v>Frenos</v>
      </c>
      <c r="F53" s="132">
        <v>255</v>
      </c>
      <c r="G53" s="134">
        <f t="shared" si="13"/>
        <v>400</v>
      </c>
      <c r="H53" s="134" t="s">
        <v>124</v>
      </c>
      <c r="I53" s="134" t="s">
        <v>210</v>
      </c>
      <c r="J53" s="141">
        <f t="shared" si="14"/>
        <v>255</v>
      </c>
      <c r="K53" s="141">
        <f t="shared" si="14"/>
        <v>400</v>
      </c>
      <c r="L53" s="138">
        <v>3.75</v>
      </c>
      <c r="M53" s="138">
        <v>0.3</v>
      </c>
      <c r="N53" s="138">
        <v>0</v>
      </c>
      <c r="O53" s="138">
        <v>0.3</v>
      </c>
      <c r="P53" s="138">
        <v>0.3</v>
      </c>
      <c r="Q53" s="138">
        <f t="shared" si="2"/>
        <v>4.6499999999999995</v>
      </c>
      <c r="R53" s="138">
        <v>10.6</v>
      </c>
      <c r="S53" s="138">
        <f t="shared" si="10"/>
        <v>11.66</v>
      </c>
      <c r="U53" s="138">
        <f t="shared" si="11"/>
        <v>5.95</v>
      </c>
      <c r="V53" s="138">
        <f t="shared" si="3"/>
        <v>3.57</v>
      </c>
      <c r="W53" s="138">
        <f t="shared" si="4"/>
        <v>2.3800000000000003</v>
      </c>
      <c r="Z53" s="132">
        <v>1</v>
      </c>
      <c r="AA53" s="132">
        <f t="shared" si="5"/>
        <v>8</v>
      </c>
      <c r="AB53" s="132">
        <v>5</v>
      </c>
      <c r="AC53" s="132">
        <v>24</v>
      </c>
      <c r="AD53" s="132">
        <f t="shared" si="6"/>
        <v>15</v>
      </c>
      <c r="AE53" s="132">
        <v>0.4</v>
      </c>
      <c r="AF53" s="132">
        <f t="shared" si="7"/>
        <v>0.44000000000000006</v>
      </c>
      <c r="AG53" s="132">
        <f t="shared" si="8"/>
        <v>10.560000000000002</v>
      </c>
      <c r="AS53" s="132">
        <f t="shared" si="12"/>
        <v>14.11</v>
      </c>
    </row>
    <row r="54" spans="1:45" hidden="1" x14ac:dyDescent="0.3">
      <c r="A54" s="134" t="s">
        <v>3</v>
      </c>
      <c r="B54" s="134" t="s">
        <v>132</v>
      </c>
      <c r="C54" s="134">
        <v>5</v>
      </c>
      <c r="D54" s="134" t="str">
        <f t="shared" si="9"/>
        <v>Frenos</v>
      </c>
      <c r="F54" s="132">
        <v>2255</v>
      </c>
      <c r="G54" s="134">
        <f t="shared" si="13"/>
        <v>200</v>
      </c>
      <c r="H54" s="134" t="s">
        <v>125</v>
      </c>
      <c r="I54" s="134" t="s">
        <v>211</v>
      </c>
      <c r="J54" s="141">
        <f t="shared" si="14"/>
        <v>2255</v>
      </c>
      <c r="K54" s="141">
        <f t="shared" si="14"/>
        <v>200</v>
      </c>
      <c r="M54" s="138">
        <v>0.3</v>
      </c>
      <c r="N54" s="138">
        <v>0</v>
      </c>
      <c r="O54" s="138">
        <v>0.3</v>
      </c>
      <c r="P54" s="138">
        <v>0.3</v>
      </c>
      <c r="Q54" s="138">
        <f t="shared" si="2"/>
        <v>0.89999999999999991</v>
      </c>
      <c r="S54" s="138">
        <f t="shared" si="10"/>
        <v>0</v>
      </c>
      <c r="U54" s="138">
        <f t="shared" si="11"/>
        <v>-0.89999999999999991</v>
      </c>
      <c r="V54" s="138">
        <f t="shared" si="3"/>
        <v>-0.53999999999999992</v>
      </c>
      <c r="W54" s="138">
        <f t="shared" si="4"/>
        <v>-0.36</v>
      </c>
      <c r="AA54" s="132">
        <f t="shared" si="5"/>
        <v>0</v>
      </c>
      <c r="AB54" s="132">
        <v>5</v>
      </c>
      <c r="AD54" s="132">
        <f t="shared" si="6"/>
        <v>0</v>
      </c>
      <c r="AE54" s="132">
        <v>0.2</v>
      </c>
      <c r="AF54" s="132">
        <f t="shared" si="7"/>
        <v>0.22000000000000003</v>
      </c>
      <c r="AG54" s="132">
        <f t="shared" si="8"/>
        <v>0</v>
      </c>
      <c r="AS54" s="132">
        <f t="shared" si="12"/>
        <v>0</v>
      </c>
    </row>
    <row r="55" spans="1:45" x14ac:dyDescent="0.3">
      <c r="A55" s="137" t="s">
        <v>3</v>
      </c>
      <c r="B55" s="134" t="s">
        <v>132</v>
      </c>
      <c r="C55" s="134">
        <v>5</v>
      </c>
      <c r="D55" s="134" t="str">
        <f t="shared" si="9"/>
        <v>Frenos</v>
      </c>
      <c r="F55" s="132">
        <v>2455</v>
      </c>
      <c r="G55" s="134">
        <f t="shared" si="13"/>
        <v>200</v>
      </c>
      <c r="H55" s="134" t="s">
        <v>82</v>
      </c>
      <c r="I55" s="134" t="s">
        <v>212</v>
      </c>
      <c r="J55" s="141">
        <f t="shared" si="14"/>
        <v>2455</v>
      </c>
      <c r="K55" s="141">
        <f t="shared" si="14"/>
        <v>200</v>
      </c>
      <c r="L55" s="138">
        <v>7.55</v>
      </c>
      <c r="M55" s="138">
        <v>0.3</v>
      </c>
      <c r="N55" s="138">
        <v>0</v>
      </c>
      <c r="O55" s="138">
        <v>0.3</v>
      </c>
      <c r="P55" s="138">
        <v>0.3</v>
      </c>
      <c r="Q55" s="138">
        <f t="shared" si="2"/>
        <v>8.4500000000000011</v>
      </c>
      <c r="R55" s="138">
        <v>18.25</v>
      </c>
      <c r="S55" s="138">
        <f t="shared" si="10"/>
        <v>20.079999999999998</v>
      </c>
      <c r="U55" s="138">
        <f t="shared" si="11"/>
        <v>9.7999999999999989</v>
      </c>
      <c r="V55" s="138">
        <f t="shared" si="3"/>
        <v>5.879999999999999</v>
      </c>
      <c r="W55" s="138">
        <f t="shared" si="4"/>
        <v>3.92</v>
      </c>
      <c r="Z55" s="132">
        <v>1</v>
      </c>
      <c r="AA55" s="132">
        <f t="shared" si="5"/>
        <v>4</v>
      </c>
      <c r="AB55" s="132">
        <v>5</v>
      </c>
      <c r="AC55" s="132">
        <v>12</v>
      </c>
      <c r="AD55" s="132">
        <f t="shared" si="6"/>
        <v>10</v>
      </c>
      <c r="AE55" s="132">
        <v>0.2</v>
      </c>
      <c r="AF55" s="132">
        <f t="shared" si="7"/>
        <v>0.22000000000000003</v>
      </c>
      <c r="AG55" s="132">
        <f t="shared" si="8"/>
        <v>2.6400000000000006</v>
      </c>
      <c r="AS55" s="132">
        <f t="shared" si="12"/>
        <v>24.3</v>
      </c>
    </row>
    <row r="56" spans="1:45" x14ac:dyDescent="0.3">
      <c r="A56" s="137" t="s">
        <v>3</v>
      </c>
      <c r="B56" s="134" t="s">
        <v>132</v>
      </c>
      <c r="C56" s="134">
        <v>6</v>
      </c>
      <c r="D56" s="134" t="str">
        <f t="shared" si="9"/>
        <v>Mantenimiento y Cuidado</v>
      </c>
      <c r="E56" s="134">
        <v>0</v>
      </c>
      <c r="F56" s="134">
        <v>2022</v>
      </c>
      <c r="G56" s="134">
        <f t="shared" si="13"/>
        <v>1000</v>
      </c>
      <c r="H56" s="134" t="s">
        <v>41</v>
      </c>
      <c r="I56" s="134" t="s">
        <v>213</v>
      </c>
      <c r="J56" s="141">
        <f t="shared" si="14"/>
        <v>2022</v>
      </c>
      <c r="K56" s="141">
        <f t="shared" si="14"/>
        <v>1000</v>
      </c>
      <c r="L56" s="138">
        <v>1.85</v>
      </c>
      <c r="M56" s="138">
        <v>0.3</v>
      </c>
      <c r="N56" s="138">
        <v>0</v>
      </c>
      <c r="O56" s="138">
        <v>0.3</v>
      </c>
      <c r="P56" s="138">
        <v>0.3</v>
      </c>
      <c r="Q56" s="138">
        <f t="shared" si="2"/>
        <v>2.7499999999999996</v>
      </c>
      <c r="R56" s="138">
        <v>1.95</v>
      </c>
      <c r="S56" s="138">
        <f t="shared" si="10"/>
        <v>2.15</v>
      </c>
      <c r="U56" s="138">
        <f t="shared" si="11"/>
        <v>-0.7999999999999996</v>
      </c>
      <c r="V56" s="138">
        <f t="shared" si="3"/>
        <v>-0.47999999999999976</v>
      </c>
      <c r="W56" s="138">
        <f t="shared" si="4"/>
        <v>-0.31999999999999984</v>
      </c>
      <c r="Z56" s="132">
        <v>1</v>
      </c>
      <c r="AA56" s="132">
        <f t="shared" si="5"/>
        <v>4</v>
      </c>
      <c r="AB56" s="132">
        <v>5</v>
      </c>
      <c r="AC56" s="132">
        <v>12</v>
      </c>
      <c r="AD56" s="132">
        <f t="shared" si="6"/>
        <v>10</v>
      </c>
      <c r="AE56" s="132">
        <v>1</v>
      </c>
      <c r="AF56" s="132">
        <f t="shared" si="7"/>
        <v>1.1000000000000001</v>
      </c>
      <c r="AG56" s="132">
        <f t="shared" si="8"/>
        <v>13.200000000000001</v>
      </c>
      <c r="AS56" s="132">
        <f t="shared" si="12"/>
        <v>2.6</v>
      </c>
    </row>
    <row r="57" spans="1:45" x14ac:dyDescent="0.3">
      <c r="A57" s="137" t="s">
        <v>3</v>
      </c>
      <c r="B57" s="134" t="s">
        <v>132</v>
      </c>
      <c r="C57" s="134">
        <v>6</v>
      </c>
      <c r="D57" s="134" t="str">
        <f t="shared" si="9"/>
        <v>Mantenimiento y Cuidado</v>
      </c>
      <c r="F57" s="132">
        <v>2026</v>
      </c>
      <c r="G57" s="134">
        <f t="shared" si="13"/>
        <v>50</v>
      </c>
      <c r="H57" s="134" t="s">
        <v>88</v>
      </c>
      <c r="I57" s="134" t="s">
        <v>214</v>
      </c>
      <c r="J57" s="141">
        <f t="shared" si="14"/>
        <v>2026</v>
      </c>
      <c r="K57" s="141">
        <f t="shared" si="14"/>
        <v>50</v>
      </c>
      <c r="L57" s="138">
        <v>0.55000000000000004</v>
      </c>
      <c r="M57" s="138">
        <v>0.3</v>
      </c>
      <c r="N57" s="138">
        <v>0</v>
      </c>
      <c r="O57" s="138">
        <v>0.3</v>
      </c>
      <c r="P57" s="138">
        <v>0.3</v>
      </c>
      <c r="Q57" s="138">
        <f t="shared" si="2"/>
        <v>1.4500000000000002</v>
      </c>
      <c r="R57" s="138">
        <v>0.65</v>
      </c>
      <c r="S57" s="138">
        <f t="shared" si="10"/>
        <v>0.72</v>
      </c>
      <c r="U57" s="138">
        <f t="shared" si="11"/>
        <v>-0.80000000000000016</v>
      </c>
      <c r="V57" s="138">
        <f t="shared" si="3"/>
        <v>-0.48000000000000009</v>
      </c>
      <c r="W57" s="138">
        <f t="shared" si="4"/>
        <v>-0.32000000000000006</v>
      </c>
      <c r="Z57" s="132">
        <v>1</v>
      </c>
      <c r="AA57" s="132">
        <f t="shared" si="5"/>
        <v>42</v>
      </c>
      <c r="AB57" s="132">
        <v>5</v>
      </c>
      <c r="AC57" s="132">
        <v>126</v>
      </c>
      <c r="AD57" s="132">
        <f t="shared" si="6"/>
        <v>0</v>
      </c>
      <c r="AE57" s="132">
        <v>0.05</v>
      </c>
      <c r="AF57" s="132">
        <f t="shared" si="7"/>
        <v>5.5000000000000007E-2</v>
      </c>
      <c r="AG57" s="132">
        <f t="shared" si="8"/>
        <v>6.9300000000000006</v>
      </c>
      <c r="AS57" s="132">
        <f t="shared" si="12"/>
        <v>0.87</v>
      </c>
    </row>
    <row r="58" spans="1:45" hidden="1" x14ac:dyDescent="0.3">
      <c r="A58" s="134" t="s">
        <v>3</v>
      </c>
      <c r="B58" s="134" t="s">
        <v>132</v>
      </c>
      <c r="C58" s="134">
        <v>6</v>
      </c>
      <c r="D58" s="134" t="str">
        <f t="shared" si="9"/>
        <v>Mantenimiento y Cuidado</v>
      </c>
      <c r="F58" s="132">
        <v>2040</v>
      </c>
      <c r="G58" s="134">
        <f t="shared" si="13"/>
        <v>400</v>
      </c>
      <c r="H58" s="134" t="s">
        <v>94</v>
      </c>
      <c r="I58" s="134" t="s">
        <v>301</v>
      </c>
      <c r="J58" s="141">
        <f t="shared" si="14"/>
        <v>2040</v>
      </c>
      <c r="K58" s="141">
        <f t="shared" si="14"/>
        <v>400</v>
      </c>
      <c r="L58" s="139"/>
      <c r="M58" s="138">
        <v>0.3</v>
      </c>
      <c r="N58" s="138">
        <v>0</v>
      </c>
      <c r="O58" s="138">
        <v>0.3</v>
      </c>
      <c r="P58" s="138">
        <v>0.3</v>
      </c>
      <c r="Q58" s="138">
        <f t="shared" si="2"/>
        <v>0.89999999999999991</v>
      </c>
      <c r="R58" s="138">
        <v>6.35</v>
      </c>
      <c r="S58" s="138">
        <f t="shared" si="10"/>
        <v>6.99</v>
      </c>
      <c r="U58" s="138">
        <f t="shared" si="11"/>
        <v>5.4499999999999993</v>
      </c>
      <c r="V58" s="138">
        <f t="shared" si="3"/>
        <v>3.2699999999999996</v>
      </c>
      <c r="W58" s="138">
        <f t="shared" si="4"/>
        <v>2.1799999999999997</v>
      </c>
      <c r="AA58" s="132">
        <f t="shared" si="5"/>
        <v>0</v>
      </c>
      <c r="AB58" s="132">
        <v>5</v>
      </c>
      <c r="AD58" s="132">
        <f t="shared" si="6"/>
        <v>0</v>
      </c>
      <c r="AE58" s="132">
        <v>0.4</v>
      </c>
      <c r="AF58" s="132">
        <f t="shared" si="7"/>
        <v>0.44000000000000006</v>
      </c>
      <c r="AG58" s="132">
        <f t="shared" si="8"/>
        <v>0</v>
      </c>
      <c r="AS58" s="132">
        <f t="shared" si="12"/>
        <v>8.4600000000000009</v>
      </c>
    </row>
    <row r="59" spans="1:45" x14ac:dyDescent="0.3">
      <c r="A59" s="137" t="s">
        <v>3</v>
      </c>
      <c r="B59" s="134" t="s">
        <v>132</v>
      </c>
      <c r="C59" s="134">
        <v>6</v>
      </c>
      <c r="D59" s="134" t="str">
        <f t="shared" si="9"/>
        <v>Mantenimiento y Cuidado</v>
      </c>
      <c r="F59" s="132">
        <v>2041</v>
      </c>
      <c r="G59" s="134">
        <f t="shared" si="13"/>
        <v>400</v>
      </c>
      <c r="H59" s="134" t="s">
        <v>89</v>
      </c>
      <c r="I59" s="132" t="s">
        <v>215</v>
      </c>
      <c r="J59" s="141">
        <f t="shared" si="14"/>
        <v>2041</v>
      </c>
      <c r="K59" s="141">
        <f t="shared" si="14"/>
        <v>400</v>
      </c>
      <c r="L59" s="138">
        <v>3.7</v>
      </c>
      <c r="M59" s="138">
        <v>0.3</v>
      </c>
      <c r="N59" s="138">
        <v>0</v>
      </c>
      <c r="O59" s="138">
        <v>0.3</v>
      </c>
      <c r="P59" s="138">
        <v>0.3</v>
      </c>
      <c r="Q59" s="138">
        <f t="shared" si="2"/>
        <v>4.5999999999999996</v>
      </c>
      <c r="R59" s="138">
        <v>10.199999999999999</v>
      </c>
      <c r="S59" s="138">
        <f t="shared" si="10"/>
        <v>11.22</v>
      </c>
      <c r="U59" s="138">
        <f t="shared" si="11"/>
        <v>5.6</v>
      </c>
      <c r="V59" s="138">
        <f t="shared" si="3"/>
        <v>3.36</v>
      </c>
      <c r="W59" s="138">
        <f t="shared" si="4"/>
        <v>2.2399999999999998</v>
      </c>
      <c r="Z59" s="132">
        <v>1</v>
      </c>
      <c r="AA59" s="132">
        <f t="shared" si="5"/>
        <v>8</v>
      </c>
      <c r="AB59" s="132">
        <v>5</v>
      </c>
      <c r="AC59" s="132">
        <v>24</v>
      </c>
      <c r="AD59" s="132">
        <f t="shared" si="6"/>
        <v>15</v>
      </c>
      <c r="AE59" s="132">
        <v>0.4</v>
      </c>
      <c r="AF59" s="132">
        <f t="shared" si="7"/>
        <v>0.44000000000000006</v>
      </c>
      <c r="AG59" s="132">
        <f t="shared" si="8"/>
        <v>10.560000000000002</v>
      </c>
      <c r="AS59" s="132">
        <f t="shared" si="12"/>
        <v>13.58</v>
      </c>
    </row>
    <row r="60" spans="1:45" x14ac:dyDescent="0.3">
      <c r="A60" s="137" t="s">
        <v>3</v>
      </c>
      <c r="B60" s="134" t="s">
        <v>132</v>
      </c>
      <c r="C60" s="134">
        <v>6</v>
      </c>
      <c r="D60" s="134" t="str">
        <f t="shared" si="9"/>
        <v>Mantenimiento y Cuidado</v>
      </c>
      <c r="F60" s="132">
        <v>2042</v>
      </c>
      <c r="G60" s="134">
        <f t="shared" si="13"/>
        <v>400</v>
      </c>
      <c r="H60" s="134" t="s">
        <v>90</v>
      </c>
      <c r="I60" s="132" t="s">
        <v>216</v>
      </c>
      <c r="J60" s="141">
        <f t="shared" si="14"/>
        <v>2042</v>
      </c>
      <c r="K60" s="141">
        <f t="shared" si="14"/>
        <v>400</v>
      </c>
      <c r="L60" s="138">
        <v>3.85</v>
      </c>
      <c r="M60" s="138">
        <v>0.3</v>
      </c>
      <c r="N60" s="138">
        <v>0</v>
      </c>
      <c r="O60" s="138">
        <v>0.3</v>
      </c>
      <c r="P60" s="138">
        <v>0.3</v>
      </c>
      <c r="Q60" s="138">
        <f t="shared" si="2"/>
        <v>4.75</v>
      </c>
      <c r="R60" s="138">
        <v>7.95</v>
      </c>
      <c r="S60" s="138">
        <f t="shared" si="10"/>
        <v>8.75</v>
      </c>
      <c r="U60" s="138">
        <f t="shared" si="11"/>
        <v>3.2</v>
      </c>
      <c r="V60" s="138">
        <f t="shared" si="3"/>
        <v>1.92</v>
      </c>
      <c r="W60" s="138">
        <f t="shared" si="4"/>
        <v>1.2800000000000002</v>
      </c>
      <c r="Z60" s="132">
        <v>1</v>
      </c>
      <c r="AA60" s="132">
        <f t="shared" si="5"/>
        <v>8</v>
      </c>
      <c r="AB60" s="132">
        <v>5</v>
      </c>
      <c r="AC60" s="132">
        <v>24</v>
      </c>
      <c r="AD60" s="132">
        <f t="shared" si="6"/>
        <v>15</v>
      </c>
      <c r="AE60" s="132">
        <v>0.4</v>
      </c>
      <c r="AF60" s="132">
        <f t="shared" si="7"/>
        <v>0.44000000000000006</v>
      </c>
      <c r="AG60" s="132">
        <f t="shared" si="8"/>
        <v>10.560000000000002</v>
      </c>
      <c r="AS60" s="132">
        <f t="shared" si="12"/>
        <v>10.59</v>
      </c>
    </row>
    <row r="61" spans="1:45" x14ac:dyDescent="0.3">
      <c r="A61" s="137" t="s">
        <v>3</v>
      </c>
      <c r="B61" s="134" t="s">
        <v>132</v>
      </c>
      <c r="C61" s="134">
        <v>6</v>
      </c>
      <c r="D61" s="134" t="str">
        <f t="shared" si="9"/>
        <v>Mantenimiento y Cuidado</v>
      </c>
      <c r="F61" s="132">
        <v>2043</v>
      </c>
      <c r="G61" s="134">
        <f t="shared" si="13"/>
        <v>400</v>
      </c>
      <c r="H61" s="134" t="s">
        <v>91</v>
      </c>
      <c r="I61" s="132" t="s">
        <v>217</v>
      </c>
      <c r="J61" s="141">
        <f t="shared" si="14"/>
        <v>2043</v>
      </c>
      <c r="K61" s="141">
        <f t="shared" si="14"/>
        <v>400</v>
      </c>
      <c r="L61" s="138">
        <v>3.15</v>
      </c>
      <c r="M61" s="138">
        <v>0.3</v>
      </c>
      <c r="N61" s="138">
        <v>0</v>
      </c>
      <c r="O61" s="138">
        <v>0.3</v>
      </c>
      <c r="P61" s="138">
        <v>0.3</v>
      </c>
      <c r="Q61" s="138">
        <f t="shared" si="2"/>
        <v>4.05</v>
      </c>
      <c r="R61" s="138">
        <v>7.8</v>
      </c>
      <c r="S61" s="138">
        <f t="shared" si="10"/>
        <v>8.58</v>
      </c>
      <c r="U61" s="138">
        <f t="shared" si="11"/>
        <v>3.75</v>
      </c>
      <c r="V61" s="138">
        <f t="shared" si="3"/>
        <v>2.25</v>
      </c>
      <c r="W61" s="138">
        <f t="shared" si="4"/>
        <v>1.5</v>
      </c>
      <c r="Z61" s="132">
        <v>1</v>
      </c>
      <c r="AA61" s="132">
        <f t="shared" si="5"/>
        <v>8</v>
      </c>
      <c r="AB61" s="132">
        <v>5</v>
      </c>
      <c r="AC61" s="132">
        <v>24</v>
      </c>
      <c r="AD61" s="132">
        <f t="shared" si="6"/>
        <v>15</v>
      </c>
      <c r="AE61" s="132">
        <v>0.4</v>
      </c>
      <c r="AF61" s="132">
        <f t="shared" si="7"/>
        <v>0.44000000000000006</v>
      </c>
      <c r="AG61" s="132">
        <f t="shared" si="8"/>
        <v>10.560000000000002</v>
      </c>
      <c r="AS61" s="132">
        <f t="shared" si="12"/>
        <v>10.38</v>
      </c>
    </row>
    <row r="62" spans="1:45" x14ac:dyDescent="0.3">
      <c r="A62" s="137" t="s">
        <v>3</v>
      </c>
      <c r="B62" s="134" t="s">
        <v>132</v>
      </c>
      <c r="C62" s="134">
        <v>6</v>
      </c>
      <c r="D62" s="134" t="str">
        <f t="shared" si="9"/>
        <v>Mantenimiento y Cuidado</v>
      </c>
      <c r="F62" s="132">
        <v>2045</v>
      </c>
      <c r="G62" s="134">
        <f t="shared" si="13"/>
        <v>400</v>
      </c>
      <c r="H62" s="134" t="s">
        <v>92</v>
      </c>
      <c r="I62" s="132" t="s">
        <v>218</v>
      </c>
      <c r="J62" s="141">
        <f t="shared" si="14"/>
        <v>2045</v>
      </c>
      <c r="K62" s="141">
        <f t="shared" si="14"/>
        <v>400</v>
      </c>
      <c r="L62" s="138">
        <v>3.9</v>
      </c>
      <c r="M62" s="138">
        <v>0.3</v>
      </c>
      <c r="N62" s="138">
        <v>0</v>
      </c>
      <c r="O62" s="138">
        <v>0.3</v>
      </c>
      <c r="P62" s="138">
        <v>0.3</v>
      </c>
      <c r="Q62" s="138">
        <f t="shared" si="2"/>
        <v>4.8</v>
      </c>
      <c r="R62" s="138">
        <v>9.5</v>
      </c>
      <c r="S62" s="138">
        <f t="shared" si="10"/>
        <v>10.45</v>
      </c>
      <c r="U62" s="138">
        <f t="shared" si="11"/>
        <v>4.7</v>
      </c>
      <c r="V62" s="138">
        <f t="shared" si="3"/>
        <v>2.82</v>
      </c>
      <c r="W62" s="138">
        <f t="shared" si="4"/>
        <v>1.8800000000000001</v>
      </c>
      <c r="Z62" s="132">
        <v>1</v>
      </c>
      <c r="AA62" s="132">
        <f t="shared" si="5"/>
        <v>8</v>
      </c>
      <c r="AB62" s="132">
        <v>5</v>
      </c>
      <c r="AC62" s="132">
        <v>24</v>
      </c>
      <c r="AD62" s="132">
        <f t="shared" si="6"/>
        <v>15</v>
      </c>
      <c r="AE62" s="132">
        <v>0.4</v>
      </c>
      <c r="AF62" s="132">
        <f t="shared" si="7"/>
        <v>0.44000000000000006</v>
      </c>
      <c r="AG62" s="132">
        <f t="shared" si="8"/>
        <v>10.560000000000002</v>
      </c>
      <c r="AS62" s="132">
        <f t="shared" si="12"/>
        <v>12.64</v>
      </c>
    </row>
    <row r="63" spans="1:45" x14ac:dyDescent="0.3">
      <c r="A63" s="137" t="s">
        <v>3</v>
      </c>
      <c r="B63" s="134" t="s">
        <v>132</v>
      </c>
      <c r="C63" s="134">
        <v>6</v>
      </c>
      <c r="D63" s="134" t="str">
        <f t="shared" si="9"/>
        <v>Mantenimiento y Cuidado</v>
      </c>
      <c r="F63" s="132">
        <v>2246</v>
      </c>
      <c r="G63" s="134">
        <f t="shared" si="13"/>
        <v>400</v>
      </c>
      <c r="H63" s="134" t="s">
        <v>93</v>
      </c>
      <c r="I63" s="132" t="s">
        <v>219</v>
      </c>
      <c r="J63" s="141">
        <f t="shared" si="14"/>
        <v>2246</v>
      </c>
      <c r="K63" s="141">
        <f t="shared" si="14"/>
        <v>400</v>
      </c>
      <c r="L63" s="138">
        <v>3.75</v>
      </c>
      <c r="M63" s="138">
        <v>0.3</v>
      </c>
      <c r="N63" s="138">
        <v>0</v>
      </c>
      <c r="O63" s="138">
        <v>0.3</v>
      </c>
      <c r="P63" s="138">
        <v>0.3</v>
      </c>
      <c r="Q63" s="138">
        <f t="shared" si="2"/>
        <v>4.6499999999999995</v>
      </c>
      <c r="R63" s="138">
        <v>7.9</v>
      </c>
      <c r="S63" s="138">
        <f t="shared" si="10"/>
        <v>8.69</v>
      </c>
      <c r="U63" s="138">
        <f t="shared" si="11"/>
        <v>3.2500000000000009</v>
      </c>
      <c r="V63" s="138">
        <f t="shared" si="3"/>
        <v>1.9500000000000004</v>
      </c>
      <c r="W63" s="138">
        <f t="shared" si="4"/>
        <v>1.3000000000000005</v>
      </c>
      <c r="Z63" s="132">
        <v>1</v>
      </c>
      <c r="AA63" s="132">
        <f t="shared" si="5"/>
        <v>8</v>
      </c>
      <c r="AB63" s="132">
        <v>5</v>
      </c>
      <c r="AC63" s="132">
        <v>24</v>
      </c>
      <c r="AD63" s="132">
        <f t="shared" si="6"/>
        <v>15</v>
      </c>
      <c r="AE63" s="132">
        <v>0.4</v>
      </c>
      <c r="AF63" s="132">
        <f t="shared" si="7"/>
        <v>0.44000000000000006</v>
      </c>
      <c r="AG63" s="132">
        <f t="shared" si="8"/>
        <v>10.560000000000002</v>
      </c>
      <c r="AS63" s="132">
        <f t="shared" si="12"/>
        <v>10.51</v>
      </c>
    </row>
    <row r="64" spans="1:45" ht="15.6" x14ac:dyDescent="0.35">
      <c r="A64" s="137" t="s">
        <v>3</v>
      </c>
      <c r="B64" s="134" t="s">
        <v>132</v>
      </c>
      <c r="C64" s="134">
        <v>6</v>
      </c>
      <c r="D64" s="134" t="str">
        <f t="shared" si="9"/>
        <v>Mantenimiento y Cuidado</v>
      </c>
      <c r="F64" s="132">
        <v>2048</v>
      </c>
      <c r="G64" s="134">
        <f t="shared" si="13"/>
        <v>400</v>
      </c>
      <c r="H64" s="134" t="s">
        <v>220</v>
      </c>
      <c r="I64" s="134" t="s">
        <v>221</v>
      </c>
      <c r="J64" s="141">
        <f t="shared" si="14"/>
        <v>2048</v>
      </c>
      <c r="K64" s="141">
        <f t="shared" si="14"/>
        <v>400</v>
      </c>
      <c r="L64" s="138">
        <v>2.35</v>
      </c>
      <c r="M64" s="138">
        <v>0.3</v>
      </c>
      <c r="N64" s="138">
        <v>0</v>
      </c>
      <c r="O64" s="138">
        <v>0.3</v>
      </c>
      <c r="P64" s="138">
        <v>0.3</v>
      </c>
      <c r="Q64" s="138">
        <f t="shared" si="2"/>
        <v>3.2499999999999996</v>
      </c>
      <c r="R64" s="138">
        <v>4.55</v>
      </c>
      <c r="S64" s="138">
        <f t="shared" si="10"/>
        <v>5.01</v>
      </c>
      <c r="U64" s="138">
        <f t="shared" si="11"/>
        <v>1.3000000000000003</v>
      </c>
      <c r="V64" s="138">
        <f t="shared" si="3"/>
        <v>0.78000000000000014</v>
      </c>
      <c r="W64" s="138">
        <f t="shared" si="4"/>
        <v>0.52000000000000013</v>
      </c>
      <c r="Z64" s="132">
        <v>1</v>
      </c>
      <c r="AA64" s="132">
        <f t="shared" si="5"/>
        <v>8</v>
      </c>
      <c r="AB64" s="132">
        <v>5</v>
      </c>
      <c r="AC64" s="132">
        <v>24</v>
      </c>
      <c r="AD64" s="132">
        <f t="shared" si="6"/>
        <v>15</v>
      </c>
      <c r="AE64" s="132">
        <v>0.4</v>
      </c>
      <c r="AF64" s="132">
        <f t="shared" si="7"/>
        <v>0.44000000000000006</v>
      </c>
      <c r="AG64" s="132">
        <f t="shared" si="8"/>
        <v>10.560000000000002</v>
      </c>
      <c r="AS64" s="132">
        <f t="shared" si="12"/>
        <v>6.06</v>
      </c>
    </row>
    <row r="65" spans="1:45" x14ac:dyDescent="0.3">
      <c r="A65" s="137" t="s">
        <v>3</v>
      </c>
      <c r="B65" s="134" t="s">
        <v>132</v>
      </c>
      <c r="C65" s="134">
        <v>6</v>
      </c>
      <c r="D65" s="134" t="str">
        <f t="shared" si="9"/>
        <v>Mantenimiento y Cuidado</v>
      </c>
      <c r="F65" s="132">
        <v>2047</v>
      </c>
      <c r="G65" s="134">
        <f t="shared" si="13"/>
        <v>400</v>
      </c>
      <c r="H65" s="134" t="s">
        <v>96</v>
      </c>
      <c r="I65" s="134" t="s">
        <v>222</v>
      </c>
      <c r="J65" s="141">
        <f t="shared" si="14"/>
        <v>2047</v>
      </c>
      <c r="K65" s="141">
        <f t="shared" si="14"/>
        <v>400</v>
      </c>
      <c r="L65" s="138">
        <v>2.5</v>
      </c>
      <c r="M65" s="138">
        <v>0.3</v>
      </c>
      <c r="N65" s="138">
        <v>0</v>
      </c>
      <c r="O65" s="138">
        <v>0.3</v>
      </c>
      <c r="P65" s="138">
        <v>0.3</v>
      </c>
      <c r="Q65" s="138">
        <f t="shared" si="2"/>
        <v>3.3999999999999995</v>
      </c>
      <c r="R65" s="138">
        <v>4.8499999999999996</v>
      </c>
      <c r="S65" s="138">
        <f t="shared" si="10"/>
        <v>5.34</v>
      </c>
      <c r="U65" s="138">
        <f t="shared" si="11"/>
        <v>1.4500000000000002</v>
      </c>
      <c r="V65" s="138">
        <f t="shared" si="3"/>
        <v>0.87000000000000011</v>
      </c>
      <c r="W65" s="138">
        <f t="shared" si="4"/>
        <v>0.58000000000000007</v>
      </c>
      <c r="Z65" s="132">
        <v>1</v>
      </c>
      <c r="AA65" s="132">
        <f t="shared" si="5"/>
        <v>8</v>
      </c>
      <c r="AB65" s="132">
        <v>5</v>
      </c>
      <c r="AC65" s="132">
        <v>24</v>
      </c>
      <c r="AD65" s="132">
        <f t="shared" si="6"/>
        <v>15</v>
      </c>
      <c r="AE65" s="132">
        <v>0.4</v>
      </c>
      <c r="AF65" s="132">
        <f t="shared" si="7"/>
        <v>0.44000000000000006</v>
      </c>
      <c r="AG65" s="132">
        <f t="shared" si="8"/>
        <v>10.560000000000002</v>
      </c>
      <c r="AS65" s="132">
        <f t="shared" si="12"/>
        <v>6.46</v>
      </c>
    </row>
    <row r="66" spans="1:45" x14ac:dyDescent="0.3">
      <c r="A66" s="137" t="s">
        <v>3</v>
      </c>
      <c r="B66" s="134" t="s">
        <v>132</v>
      </c>
      <c r="C66" s="134">
        <v>6</v>
      </c>
      <c r="D66" s="134" t="str">
        <f t="shared" si="9"/>
        <v>Mantenimiento y Cuidado</v>
      </c>
      <c r="F66" s="132">
        <v>2053</v>
      </c>
      <c r="G66" s="134">
        <f t="shared" si="13"/>
        <v>400</v>
      </c>
      <c r="H66" s="134" t="s">
        <v>98</v>
      </c>
      <c r="I66" s="134" t="s">
        <v>330</v>
      </c>
      <c r="J66" s="141">
        <f t="shared" si="14"/>
        <v>2053</v>
      </c>
      <c r="K66" s="141">
        <f t="shared" si="14"/>
        <v>400</v>
      </c>
      <c r="L66" s="138">
        <v>3.5</v>
      </c>
      <c r="M66" s="138">
        <v>0.3</v>
      </c>
      <c r="N66" s="138">
        <v>0</v>
      </c>
      <c r="O66" s="138">
        <v>0.3</v>
      </c>
      <c r="P66" s="138">
        <v>0.3</v>
      </c>
      <c r="Q66" s="138">
        <f t="shared" si="2"/>
        <v>4.3999999999999995</v>
      </c>
      <c r="R66" s="138">
        <v>8.5500000000000007</v>
      </c>
      <c r="S66" s="138">
        <f t="shared" si="10"/>
        <v>9.41</v>
      </c>
      <c r="U66" s="138">
        <f t="shared" si="11"/>
        <v>4.1500000000000012</v>
      </c>
      <c r="V66" s="138">
        <f t="shared" si="3"/>
        <v>2.4900000000000007</v>
      </c>
      <c r="W66" s="138">
        <f t="shared" si="4"/>
        <v>1.6600000000000006</v>
      </c>
      <c r="Z66" s="132">
        <v>1</v>
      </c>
      <c r="AA66" s="132">
        <f t="shared" si="5"/>
        <v>8</v>
      </c>
      <c r="AB66" s="132">
        <v>5</v>
      </c>
      <c r="AC66" s="132">
        <v>24</v>
      </c>
      <c r="AD66" s="132">
        <f t="shared" si="6"/>
        <v>15</v>
      </c>
      <c r="AE66" s="132">
        <v>0.4</v>
      </c>
      <c r="AF66" s="132">
        <f t="shared" si="7"/>
        <v>0.44000000000000006</v>
      </c>
      <c r="AG66" s="132">
        <f t="shared" si="8"/>
        <v>10.560000000000002</v>
      </c>
      <c r="AS66" s="132">
        <f t="shared" si="12"/>
        <v>11.39</v>
      </c>
    </row>
    <row r="67" spans="1:45" x14ac:dyDescent="0.3">
      <c r="A67" s="137" t="s">
        <v>3</v>
      </c>
      <c r="B67" s="134" t="s">
        <v>132</v>
      </c>
      <c r="C67" s="134">
        <v>6</v>
      </c>
      <c r="D67" s="134" t="str">
        <f t="shared" si="9"/>
        <v>Mantenimiento y Cuidado</v>
      </c>
      <c r="F67" s="132">
        <v>2054</v>
      </c>
      <c r="G67" s="134">
        <f t="shared" si="13"/>
        <v>400</v>
      </c>
      <c r="H67" s="134" t="s">
        <v>99</v>
      </c>
      <c r="I67" s="134" t="s">
        <v>224</v>
      </c>
      <c r="J67" s="141">
        <f t="shared" si="14"/>
        <v>2054</v>
      </c>
      <c r="K67" s="141">
        <f t="shared" si="14"/>
        <v>400</v>
      </c>
      <c r="L67" s="138">
        <v>4.8</v>
      </c>
      <c r="M67" s="138">
        <v>0.3</v>
      </c>
      <c r="N67" s="138">
        <v>0</v>
      </c>
      <c r="O67" s="138">
        <v>0.3</v>
      </c>
      <c r="P67" s="138">
        <v>0.3</v>
      </c>
      <c r="Q67" s="138">
        <f t="shared" ref="Q67:Q130" si="15">+L67+M67+N67+O67+P67</f>
        <v>5.6999999999999993</v>
      </c>
      <c r="R67" s="138">
        <v>11.2</v>
      </c>
      <c r="S67" s="138">
        <f t="shared" si="10"/>
        <v>12.32</v>
      </c>
      <c r="U67" s="138">
        <f t="shared" si="11"/>
        <v>5.5</v>
      </c>
      <c r="V67" s="138">
        <f t="shared" ref="V67:V130" si="16">U67*0.6</f>
        <v>3.3</v>
      </c>
      <c r="W67" s="138">
        <f t="shared" ref="W67:W130" si="17">U67*0.4</f>
        <v>2.2000000000000002</v>
      </c>
      <c r="Z67" s="132">
        <v>1</v>
      </c>
      <c r="AA67" s="132">
        <f t="shared" ref="AA67:AA130" si="18">INT(AC67/3)</f>
        <v>8</v>
      </c>
      <c r="AB67" s="132">
        <v>5</v>
      </c>
      <c r="AC67" s="132">
        <v>24</v>
      </c>
      <c r="AD67" s="132">
        <f t="shared" ref="AD67:AD130" si="19">IF(AC67=24,15,IF(AC67=12,10,0))</f>
        <v>15</v>
      </c>
      <c r="AE67" s="132">
        <v>0.4</v>
      </c>
      <c r="AF67" s="132">
        <f t="shared" ref="AF67:AF130" si="20">AE67*1.1</f>
        <v>0.44000000000000006</v>
      </c>
      <c r="AG67" s="132">
        <f t="shared" ref="AG67:AG130" si="21">AF67*AC67</f>
        <v>10.560000000000002</v>
      </c>
      <c r="AS67" s="132">
        <f t="shared" si="12"/>
        <v>14.91</v>
      </c>
    </row>
    <row r="68" spans="1:45" x14ac:dyDescent="0.3">
      <c r="A68" s="137" t="s">
        <v>3</v>
      </c>
      <c r="B68" s="134" t="s">
        <v>132</v>
      </c>
      <c r="C68" s="134">
        <v>6</v>
      </c>
      <c r="D68" s="134" t="str">
        <f t="shared" ref="D68:D132" si="22">IF(C68=1,"Motor y Transmisión",IF(C68=2,"Refrigeración",IF(C68=3,"Climatización",IF(C68=4,"Sistema de Combustión",IF(C68=5,"Frenos",IF(C68=6,"Mantenimiento y Cuidado",IF(C68=7,"Carrocería","")))))))</f>
        <v>Mantenimiento y Cuidado</v>
      </c>
      <c r="F68" s="132">
        <v>2056</v>
      </c>
      <c r="G68" s="134">
        <f t="shared" si="13"/>
        <v>400</v>
      </c>
      <c r="H68" s="134" t="s">
        <v>100</v>
      </c>
      <c r="I68" s="134" t="s">
        <v>225</v>
      </c>
      <c r="J68" s="141">
        <f t="shared" si="14"/>
        <v>2056</v>
      </c>
      <c r="K68" s="141">
        <f t="shared" si="14"/>
        <v>400</v>
      </c>
      <c r="L68" s="138">
        <v>4.8</v>
      </c>
      <c r="M68" s="138">
        <v>0.3</v>
      </c>
      <c r="N68" s="138">
        <v>0</v>
      </c>
      <c r="O68" s="138">
        <v>0.3</v>
      </c>
      <c r="P68" s="138">
        <v>0.3</v>
      </c>
      <c r="Q68" s="138">
        <f t="shared" si="15"/>
        <v>5.6999999999999993</v>
      </c>
      <c r="R68" s="138">
        <v>11</v>
      </c>
      <c r="S68" s="138">
        <f t="shared" ref="S68:S131" si="23">ROUND(R68*1.1,2)</f>
        <v>12.1</v>
      </c>
      <c r="U68" s="138">
        <f t="shared" ref="U68:U131" si="24">R68-Q68</f>
        <v>5.3000000000000007</v>
      </c>
      <c r="V68" s="138">
        <f t="shared" si="16"/>
        <v>3.18</v>
      </c>
      <c r="W68" s="138">
        <f t="shared" si="17"/>
        <v>2.1200000000000006</v>
      </c>
      <c r="Z68" s="132">
        <v>1</v>
      </c>
      <c r="AA68" s="132">
        <f t="shared" si="18"/>
        <v>8</v>
      </c>
      <c r="AB68" s="132">
        <v>5</v>
      </c>
      <c r="AC68" s="132">
        <v>24</v>
      </c>
      <c r="AD68" s="132">
        <f t="shared" si="19"/>
        <v>15</v>
      </c>
      <c r="AE68" s="132">
        <v>0.4</v>
      </c>
      <c r="AF68" s="132">
        <f t="shared" si="20"/>
        <v>0.44000000000000006</v>
      </c>
      <c r="AG68" s="132">
        <f t="shared" si="21"/>
        <v>10.560000000000002</v>
      </c>
      <c r="AS68" s="132">
        <f t="shared" ref="AS68:AS131" si="25">ROUND(S68*1.21,2)</f>
        <v>14.64</v>
      </c>
    </row>
    <row r="69" spans="1:45" x14ac:dyDescent="0.3">
      <c r="A69" s="137" t="s">
        <v>3</v>
      </c>
      <c r="B69" s="134" t="s">
        <v>132</v>
      </c>
      <c r="C69" s="134">
        <v>6</v>
      </c>
      <c r="D69" s="134" t="str">
        <f t="shared" si="22"/>
        <v>Mantenimiento y Cuidado</v>
      </c>
      <c r="F69" s="132">
        <v>2059</v>
      </c>
      <c r="G69" s="134">
        <f t="shared" si="13"/>
        <v>400</v>
      </c>
      <c r="H69" s="134" t="s">
        <v>101</v>
      </c>
      <c r="I69" s="132" t="s">
        <v>226</v>
      </c>
      <c r="J69" s="141">
        <f t="shared" si="14"/>
        <v>2059</v>
      </c>
      <c r="K69" s="141">
        <f t="shared" si="14"/>
        <v>400</v>
      </c>
      <c r="L69" s="138">
        <v>3.9</v>
      </c>
      <c r="M69" s="138">
        <v>0.3</v>
      </c>
      <c r="N69" s="138">
        <v>0</v>
      </c>
      <c r="O69" s="138">
        <v>0.3</v>
      </c>
      <c r="P69" s="138">
        <v>0.3</v>
      </c>
      <c r="Q69" s="138">
        <f t="shared" si="15"/>
        <v>4.8</v>
      </c>
      <c r="R69" s="138">
        <v>6.35</v>
      </c>
      <c r="S69" s="138">
        <f t="shared" si="23"/>
        <v>6.99</v>
      </c>
      <c r="U69" s="138">
        <f t="shared" si="24"/>
        <v>1.5499999999999998</v>
      </c>
      <c r="V69" s="138">
        <f t="shared" si="16"/>
        <v>0.92999999999999983</v>
      </c>
      <c r="W69" s="138">
        <f t="shared" si="17"/>
        <v>0.62</v>
      </c>
      <c r="Z69" s="132">
        <v>1</v>
      </c>
      <c r="AA69" s="132">
        <f t="shared" si="18"/>
        <v>8</v>
      </c>
      <c r="AB69" s="132">
        <v>5</v>
      </c>
      <c r="AC69" s="132">
        <v>24</v>
      </c>
      <c r="AD69" s="132">
        <f t="shared" si="19"/>
        <v>15</v>
      </c>
      <c r="AE69" s="132">
        <v>0.4</v>
      </c>
      <c r="AF69" s="132">
        <f t="shared" si="20"/>
        <v>0.44000000000000006</v>
      </c>
      <c r="AG69" s="132">
        <f t="shared" si="21"/>
        <v>10.560000000000002</v>
      </c>
      <c r="AS69" s="132">
        <f t="shared" si="25"/>
        <v>8.4600000000000009</v>
      </c>
    </row>
    <row r="70" spans="1:45" x14ac:dyDescent="0.3">
      <c r="A70" s="137" t="s">
        <v>3</v>
      </c>
      <c r="B70" s="134" t="s">
        <v>132</v>
      </c>
      <c r="C70" s="134">
        <v>6</v>
      </c>
      <c r="D70" s="134" t="str">
        <f t="shared" si="22"/>
        <v>Mantenimiento y Cuidado</v>
      </c>
      <c r="F70" s="132">
        <v>2060</v>
      </c>
      <c r="G70" s="134">
        <v>400</v>
      </c>
      <c r="H70" s="134" t="s">
        <v>102</v>
      </c>
      <c r="I70" s="134" t="s">
        <v>331</v>
      </c>
      <c r="J70" s="141">
        <f t="shared" si="14"/>
        <v>2060</v>
      </c>
      <c r="K70" s="141">
        <f t="shared" si="14"/>
        <v>400</v>
      </c>
      <c r="L70" s="138">
        <v>1.9</v>
      </c>
      <c r="M70" s="138">
        <v>0.3</v>
      </c>
      <c r="N70" s="138">
        <v>0</v>
      </c>
      <c r="O70" s="138">
        <v>0.3</v>
      </c>
      <c r="P70" s="138">
        <v>0.3</v>
      </c>
      <c r="Q70" s="138">
        <f t="shared" si="15"/>
        <v>2.7999999999999994</v>
      </c>
      <c r="R70" s="138">
        <v>3.85</v>
      </c>
      <c r="S70" s="138">
        <f t="shared" si="23"/>
        <v>4.24</v>
      </c>
      <c r="U70" s="138">
        <f t="shared" si="24"/>
        <v>1.0500000000000007</v>
      </c>
      <c r="V70" s="138">
        <f t="shared" si="16"/>
        <v>0.63000000000000045</v>
      </c>
      <c r="W70" s="138">
        <f t="shared" si="17"/>
        <v>0.42000000000000032</v>
      </c>
      <c r="Z70" s="132">
        <v>1</v>
      </c>
      <c r="AA70" s="132">
        <f t="shared" si="18"/>
        <v>4</v>
      </c>
      <c r="AB70" s="132">
        <v>5</v>
      </c>
      <c r="AC70" s="132">
        <v>12</v>
      </c>
      <c r="AD70" s="132">
        <f t="shared" si="19"/>
        <v>10</v>
      </c>
      <c r="AE70" s="132">
        <v>0.6</v>
      </c>
      <c r="AF70" s="132">
        <f t="shared" si="20"/>
        <v>0.66</v>
      </c>
      <c r="AG70" s="132">
        <f t="shared" si="21"/>
        <v>7.92</v>
      </c>
      <c r="AS70" s="132">
        <f t="shared" si="25"/>
        <v>5.13</v>
      </c>
    </row>
    <row r="71" spans="1:45" x14ac:dyDescent="0.3">
      <c r="A71" s="137" t="s">
        <v>3</v>
      </c>
      <c r="B71" s="134" t="s">
        <v>132</v>
      </c>
      <c r="C71" s="134">
        <v>6</v>
      </c>
      <c r="D71" s="134" t="str">
        <f t="shared" si="22"/>
        <v>Mantenimiento y Cuidado</v>
      </c>
      <c r="F71" s="132">
        <v>2063</v>
      </c>
      <c r="G71" s="134">
        <f t="shared" ref="G71:G134" si="26">AE71*1000</f>
        <v>30000</v>
      </c>
      <c r="H71" s="134" t="s">
        <v>102</v>
      </c>
      <c r="I71" s="134" t="s">
        <v>303</v>
      </c>
      <c r="J71" s="141">
        <f t="shared" si="14"/>
        <v>2063</v>
      </c>
      <c r="K71" s="141">
        <f t="shared" si="14"/>
        <v>30000</v>
      </c>
      <c r="L71" s="138">
        <v>70.5</v>
      </c>
      <c r="M71" s="138">
        <v>0.3</v>
      </c>
      <c r="N71" s="138">
        <v>0</v>
      </c>
      <c r="O71" s="138">
        <v>0.3</v>
      </c>
      <c r="P71" s="138">
        <v>0.3</v>
      </c>
      <c r="Q71" s="138">
        <f t="shared" si="15"/>
        <v>71.399999999999991</v>
      </c>
      <c r="R71" s="138">
        <v>75</v>
      </c>
      <c r="S71" s="138">
        <f t="shared" si="23"/>
        <v>82.5</v>
      </c>
      <c r="U71" s="138">
        <f t="shared" si="24"/>
        <v>3.6000000000000085</v>
      </c>
      <c r="V71" s="138">
        <f t="shared" si="16"/>
        <v>2.160000000000005</v>
      </c>
      <c r="W71" s="138">
        <f t="shared" si="17"/>
        <v>1.4400000000000035</v>
      </c>
      <c r="Z71" s="132">
        <v>1</v>
      </c>
      <c r="AA71" s="132">
        <f t="shared" si="18"/>
        <v>0</v>
      </c>
      <c r="AB71" s="132">
        <v>5</v>
      </c>
      <c r="AC71" s="132">
        <v>1</v>
      </c>
      <c r="AD71" s="132">
        <f t="shared" si="19"/>
        <v>0</v>
      </c>
      <c r="AE71" s="132">
        <v>30</v>
      </c>
      <c r="AF71" s="132">
        <f t="shared" si="20"/>
        <v>33</v>
      </c>
      <c r="AG71" s="132">
        <f t="shared" si="21"/>
        <v>33</v>
      </c>
      <c r="AS71" s="132">
        <f t="shared" si="25"/>
        <v>99.83</v>
      </c>
    </row>
    <row r="72" spans="1:45" hidden="1" x14ac:dyDescent="0.3">
      <c r="A72" s="134" t="s">
        <v>3</v>
      </c>
      <c r="B72" s="134" t="s">
        <v>132</v>
      </c>
      <c r="C72" s="134">
        <v>6</v>
      </c>
      <c r="D72" s="134" t="str">
        <f t="shared" si="22"/>
        <v>Mantenimiento y Cuidado</v>
      </c>
      <c r="F72" s="132">
        <v>2117</v>
      </c>
      <c r="G72" s="134">
        <f t="shared" si="26"/>
        <v>500</v>
      </c>
      <c r="H72" s="134" t="s">
        <v>87</v>
      </c>
      <c r="I72" s="134" t="s">
        <v>323</v>
      </c>
      <c r="J72" s="141">
        <f t="shared" si="14"/>
        <v>2117</v>
      </c>
      <c r="K72" s="141">
        <f t="shared" si="14"/>
        <v>500</v>
      </c>
      <c r="M72" s="138">
        <v>0.3</v>
      </c>
      <c r="N72" s="138">
        <v>0</v>
      </c>
      <c r="O72" s="138">
        <v>0.3</v>
      </c>
      <c r="P72" s="138">
        <v>0.3</v>
      </c>
      <c r="Q72" s="138">
        <f t="shared" si="15"/>
        <v>0.89999999999999991</v>
      </c>
      <c r="R72" s="138">
        <v>3.5</v>
      </c>
      <c r="S72" s="138">
        <f t="shared" si="23"/>
        <v>3.85</v>
      </c>
      <c r="U72" s="138">
        <f t="shared" si="24"/>
        <v>2.6</v>
      </c>
      <c r="V72" s="138">
        <f t="shared" si="16"/>
        <v>1.56</v>
      </c>
      <c r="W72" s="138">
        <f t="shared" si="17"/>
        <v>1.04</v>
      </c>
      <c r="AA72" s="132">
        <f t="shared" si="18"/>
        <v>0</v>
      </c>
      <c r="AB72" s="132">
        <v>5</v>
      </c>
      <c r="AD72" s="132">
        <f t="shared" si="19"/>
        <v>0</v>
      </c>
      <c r="AE72" s="132">
        <v>0.5</v>
      </c>
      <c r="AF72" s="132">
        <f t="shared" si="20"/>
        <v>0.55000000000000004</v>
      </c>
      <c r="AG72" s="132">
        <f t="shared" si="21"/>
        <v>0</v>
      </c>
      <c r="AS72" s="132">
        <f t="shared" si="25"/>
        <v>4.66</v>
      </c>
    </row>
    <row r="73" spans="1:45" x14ac:dyDescent="0.3">
      <c r="A73" s="137" t="s">
        <v>3</v>
      </c>
      <c r="B73" s="134" t="s">
        <v>132</v>
      </c>
      <c r="C73" s="134">
        <v>6</v>
      </c>
      <c r="D73" s="134" t="str">
        <f t="shared" si="22"/>
        <v>Mantenimiento y Cuidado</v>
      </c>
      <c r="F73" s="132">
        <v>2061</v>
      </c>
      <c r="G73" s="134">
        <f t="shared" si="26"/>
        <v>500</v>
      </c>
      <c r="H73" s="134" t="s">
        <v>105</v>
      </c>
      <c r="I73" s="132" t="s">
        <v>227</v>
      </c>
      <c r="J73" s="141">
        <f t="shared" ref="J73:K104" si="27">F73</f>
        <v>2061</v>
      </c>
      <c r="K73" s="141">
        <f t="shared" si="27"/>
        <v>500</v>
      </c>
      <c r="L73" s="138">
        <v>3.2</v>
      </c>
      <c r="M73" s="138">
        <v>0.3</v>
      </c>
      <c r="N73" s="138">
        <v>0</v>
      </c>
      <c r="O73" s="138">
        <v>0.3</v>
      </c>
      <c r="P73" s="138">
        <v>0.3</v>
      </c>
      <c r="Q73" s="138">
        <f t="shared" si="15"/>
        <v>4.0999999999999996</v>
      </c>
      <c r="R73" s="138">
        <v>6.15</v>
      </c>
      <c r="S73" s="138">
        <f t="shared" si="23"/>
        <v>6.77</v>
      </c>
      <c r="U73" s="138">
        <f t="shared" si="24"/>
        <v>2.0500000000000007</v>
      </c>
      <c r="V73" s="138">
        <f t="shared" si="16"/>
        <v>1.2300000000000004</v>
      </c>
      <c r="W73" s="138">
        <f t="shared" si="17"/>
        <v>0.82000000000000028</v>
      </c>
      <c r="Z73" s="132">
        <v>1</v>
      </c>
      <c r="AA73" s="132">
        <f t="shared" si="18"/>
        <v>8</v>
      </c>
      <c r="AB73" s="132">
        <v>5</v>
      </c>
      <c r="AC73" s="132">
        <v>24</v>
      </c>
      <c r="AD73" s="132">
        <f t="shared" si="19"/>
        <v>15</v>
      </c>
      <c r="AE73" s="132">
        <v>0.5</v>
      </c>
      <c r="AF73" s="132">
        <f t="shared" si="20"/>
        <v>0.55000000000000004</v>
      </c>
      <c r="AG73" s="132">
        <f t="shared" si="21"/>
        <v>13.200000000000001</v>
      </c>
      <c r="AS73" s="132">
        <f t="shared" si="25"/>
        <v>8.19</v>
      </c>
    </row>
    <row r="74" spans="1:45" x14ac:dyDescent="0.3">
      <c r="A74" s="137" t="s">
        <v>3</v>
      </c>
      <c r="B74" s="134" t="s">
        <v>132</v>
      </c>
      <c r="C74" s="134">
        <v>6</v>
      </c>
      <c r="D74" s="134" t="str">
        <f t="shared" si="22"/>
        <v>Mantenimiento y Cuidado</v>
      </c>
      <c r="F74" s="132">
        <v>2070</v>
      </c>
      <c r="G74" s="134">
        <f t="shared" si="26"/>
        <v>400</v>
      </c>
      <c r="H74" s="134" t="s">
        <v>104</v>
      </c>
      <c r="I74" s="132" t="s">
        <v>228</v>
      </c>
      <c r="J74" s="141">
        <f t="shared" si="27"/>
        <v>2070</v>
      </c>
      <c r="K74" s="141">
        <f t="shared" si="27"/>
        <v>400</v>
      </c>
      <c r="L74" s="138">
        <v>3.45</v>
      </c>
      <c r="M74" s="138">
        <v>0.3</v>
      </c>
      <c r="N74" s="138">
        <v>0</v>
      </c>
      <c r="O74" s="138">
        <v>0.3</v>
      </c>
      <c r="P74" s="138">
        <v>0.3</v>
      </c>
      <c r="Q74" s="138">
        <f t="shared" si="15"/>
        <v>4.3499999999999996</v>
      </c>
      <c r="R74" s="138">
        <v>8.1</v>
      </c>
      <c r="S74" s="138">
        <f t="shared" si="23"/>
        <v>8.91</v>
      </c>
      <c r="U74" s="138">
        <f t="shared" si="24"/>
        <v>3.75</v>
      </c>
      <c r="V74" s="138">
        <f t="shared" si="16"/>
        <v>2.25</v>
      </c>
      <c r="W74" s="138">
        <f t="shared" si="17"/>
        <v>1.5</v>
      </c>
      <c r="Z74" s="132">
        <v>1</v>
      </c>
      <c r="AA74" s="132">
        <f t="shared" si="18"/>
        <v>8</v>
      </c>
      <c r="AB74" s="132">
        <v>5</v>
      </c>
      <c r="AC74" s="132">
        <v>24</v>
      </c>
      <c r="AD74" s="132">
        <f t="shared" si="19"/>
        <v>15</v>
      </c>
      <c r="AE74" s="132">
        <v>0.4</v>
      </c>
      <c r="AF74" s="132">
        <f t="shared" si="20"/>
        <v>0.44000000000000006</v>
      </c>
      <c r="AG74" s="132">
        <f t="shared" si="21"/>
        <v>10.560000000000002</v>
      </c>
      <c r="AS74" s="132">
        <f t="shared" si="25"/>
        <v>10.78</v>
      </c>
    </row>
    <row r="75" spans="1:45" x14ac:dyDescent="0.3">
      <c r="A75" s="137" t="s">
        <v>3</v>
      </c>
      <c r="B75" s="134" t="s">
        <v>132</v>
      </c>
      <c r="C75" s="134">
        <v>6</v>
      </c>
      <c r="D75" s="134" t="str">
        <f t="shared" si="22"/>
        <v>Mantenimiento y Cuidado</v>
      </c>
      <c r="F75" s="132">
        <v>2071</v>
      </c>
      <c r="G75" s="134">
        <f t="shared" si="26"/>
        <v>400</v>
      </c>
      <c r="H75" s="134" t="s">
        <v>103</v>
      </c>
      <c r="I75" s="132" t="s">
        <v>229</v>
      </c>
      <c r="J75" s="141">
        <f t="shared" si="27"/>
        <v>2071</v>
      </c>
      <c r="K75" s="141">
        <f t="shared" si="27"/>
        <v>400</v>
      </c>
      <c r="L75" s="138">
        <v>3.2</v>
      </c>
      <c r="M75" s="138">
        <v>0.3</v>
      </c>
      <c r="N75" s="138">
        <v>0</v>
      </c>
      <c r="O75" s="138">
        <v>0.3</v>
      </c>
      <c r="P75" s="138">
        <v>0.3</v>
      </c>
      <c r="Q75" s="138">
        <f t="shared" si="15"/>
        <v>4.0999999999999996</v>
      </c>
      <c r="R75" s="138">
        <v>8.6</v>
      </c>
      <c r="S75" s="138">
        <f t="shared" si="23"/>
        <v>9.4600000000000009</v>
      </c>
      <c r="U75" s="138">
        <f t="shared" si="24"/>
        <v>4.5</v>
      </c>
      <c r="V75" s="138">
        <f t="shared" si="16"/>
        <v>2.6999999999999997</v>
      </c>
      <c r="W75" s="138">
        <f t="shared" si="17"/>
        <v>1.8</v>
      </c>
      <c r="Z75" s="132">
        <v>1</v>
      </c>
      <c r="AA75" s="132">
        <f t="shared" si="18"/>
        <v>8</v>
      </c>
      <c r="AB75" s="132">
        <v>5</v>
      </c>
      <c r="AC75" s="132">
        <v>24</v>
      </c>
      <c r="AD75" s="132">
        <f t="shared" si="19"/>
        <v>15</v>
      </c>
      <c r="AE75" s="132">
        <v>0.4</v>
      </c>
      <c r="AF75" s="132">
        <f t="shared" si="20"/>
        <v>0.44000000000000006</v>
      </c>
      <c r="AG75" s="132">
        <f t="shared" si="21"/>
        <v>10.560000000000002</v>
      </c>
      <c r="AS75" s="132">
        <f t="shared" si="25"/>
        <v>11.45</v>
      </c>
    </row>
    <row r="76" spans="1:45" x14ac:dyDescent="0.3">
      <c r="A76" s="137" t="s">
        <v>3</v>
      </c>
      <c r="B76" s="134" t="s">
        <v>132</v>
      </c>
      <c r="C76" s="134">
        <v>6</v>
      </c>
      <c r="D76" s="134" t="str">
        <f t="shared" si="22"/>
        <v>Mantenimiento y Cuidado</v>
      </c>
      <c r="F76" s="132">
        <v>2075</v>
      </c>
      <c r="G76" s="134">
        <f t="shared" si="26"/>
        <v>400</v>
      </c>
      <c r="H76" s="134" t="s">
        <v>106</v>
      </c>
      <c r="I76" s="132" t="s">
        <v>230</v>
      </c>
      <c r="J76" s="141">
        <f t="shared" si="27"/>
        <v>2075</v>
      </c>
      <c r="K76" s="141">
        <f t="shared" si="27"/>
        <v>400</v>
      </c>
      <c r="L76" s="138">
        <v>3.1</v>
      </c>
      <c r="M76" s="138">
        <v>0.3</v>
      </c>
      <c r="N76" s="138">
        <v>0</v>
      </c>
      <c r="O76" s="138">
        <v>0.3</v>
      </c>
      <c r="P76" s="138">
        <v>0.3</v>
      </c>
      <c r="Q76" s="138">
        <f t="shared" si="15"/>
        <v>3.9999999999999996</v>
      </c>
      <c r="R76" s="138">
        <v>6.35</v>
      </c>
      <c r="S76" s="138">
        <f t="shared" si="23"/>
        <v>6.99</v>
      </c>
      <c r="U76" s="138">
        <f t="shared" si="24"/>
        <v>2.35</v>
      </c>
      <c r="V76" s="138">
        <f t="shared" si="16"/>
        <v>1.41</v>
      </c>
      <c r="W76" s="138">
        <f t="shared" si="17"/>
        <v>0.94000000000000006</v>
      </c>
      <c r="Z76" s="132">
        <v>1</v>
      </c>
      <c r="AA76" s="132">
        <f t="shared" si="18"/>
        <v>8</v>
      </c>
      <c r="AB76" s="132">
        <v>5</v>
      </c>
      <c r="AC76" s="132">
        <v>24</v>
      </c>
      <c r="AD76" s="132">
        <f t="shared" si="19"/>
        <v>15</v>
      </c>
      <c r="AE76" s="132">
        <v>0.4</v>
      </c>
      <c r="AF76" s="132">
        <f t="shared" si="20"/>
        <v>0.44000000000000006</v>
      </c>
      <c r="AG76" s="132">
        <f t="shared" si="21"/>
        <v>10.560000000000002</v>
      </c>
      <c r="AS76" s="132">
        <f t="shared" si="25"/>
        <v>8.4600000000000009</v>
      </c>
    </row>
    <row r="77" spans="1:45" x14ac:dyDescent="0.3">
      <c r="A77" s="137" t="s">
        <v>3</v>
      </c>
      <c r="B77" s="134" t="s">
        <v>132</v>
      </c>
      <c r="C77" s="134">
        <v>6</v>
      </c>
      <c r="D77" s="134" t="str">
        <f t="shared" si="22"/>
        <v>Mantenimiento y Cuidado</v>
      </c>
      <c r="F77" s="132">
        <v>2076</v>
      </c>
      <c r="G77" s="134">
        <f t="shared" si="26"/>
        <v>400</v>
      </c>
      <c r="H77" s="134" t="s">
        <v>107</v>
      </c>
      <c r="I77" s="132" t="s">
        <v>231</v>
      </c>
      <c r="J77" s="141">
        <f t="shared" si="27"/>
        <v>2076</v>
      </c>
      <c r="K77" s="141">
        <f t="shared" si="27"/>
        <v>400</v>
      </c>
      <c r="L77" s="138">
        <v>3.2</v>
      </c>
      <c r="M77" s="138">
        <v>0.3</v>
      </c>
      <c r="N77" s="138">
        <v>0</v>
      </c>
      <c r="O77" s="138">
        <v>0.3</v>
      </c>
      <c r="P77" s="138">
        <v>0.3</v>
      </c>
      <c r="Q77" s="138">
        <f t="shared" si="15"/>
        <v>4.0999999999999996</v>
      </c>
      <c r="R77" s="138">
        <v>8.5500000000000007</v>
      </c>
      <c r="S77" s="138">
        <f t="shared" si="23"/>
        <v>9.41</v>
      </c>
      <c r="U77" s="138">
        <f t="shared" si="24"/>
        <v>4.4500000000000011</v>
      </c>
      <c r="V77" s="138">
        <f t="shared" si="16"/>
        <v>2.6700000000000004</v>
      </c>
      <c r="W77" s="138">
        <f t="shared" si="17"/>
        <v>1.7800000000000005</v>
      </c>
      <c r="Z77" s="132">
        <v>1</v>
      </c>
      <c r="AA77" s="132">
        <f t="shared" si="18"/>
        <v>8</v>
      </c>
      <c r="AB77" s="132">
        <v>5</v>
      </c>
      <c r="AC77" s="132">
        <v>24</v>
      </c>
      <c r="AD77" s="132">
        <f t="shared" si="19"/>
        <v>15</v>
      </c>
      <c r="AE77" s="132">
        <v>0.4</v>
      </c>
      <c r="AF77" s="132">
        <f t="shared" si="20"/>
        <v>0.44000000000000006</v>
      </c>
      <c r="AG77" s="132">
        <f t="shared" si="21"/>
        <v>10.560000000000002</v>
      </c>
      <c r="AS77" s="132">
        <f t="shared" si="25"/>
        <v>11.39</v>
      </c>
    </row>
    <row r="78" spans="1:45" ht="13.8" customHeight="1" x14ac:dyDescent="0.3">
      <c r="A78" s="137" t="s">
        <v>3</v>
      </c>
      <c r="B78" s="134" t="s">
        <v>132</v>
      </c>
      <c r="C78" s="134">
        <v>6</v>
      </c>
      <c r="D78" s="134" t="str">
        <f t="shared" si="22"/>
        <v>Mantenimiento y Cuidado</v>
      </c>
      <c r="F78" s="132">
        <v>2094</v>
      </c>
      <c r="G78" s="134">
        <f t="shared" si="26"/>
        <v>400</v>
      </c>
      <c r="H78" s="134" t="s">
        <v>108</v>
      </c>
      <c r="I78" s="132" t="s">
        <v>232</v>
      </c>
      <c r="J78" s="141">
        <f t="shared" si="27"/>
        <v>2094</v>
      </c>
      <c r="K78" s="141">
        <f t="shared" si="27"/>
        <v>400</v>
      </c>
      <c r="L78" s="138">
        <v>3.5</v>
      </c>
      <c r="M78" s="138">
        <v>0.3</v>
      </c>
      <c r="N78" s="138">
        <v>0</v>
      </c>
      <c r="O78" s="138">
        <v>0.3</v>
      </c>
      <c r="P78" s="138">
        <v>0.3</v>
      </c>
      <c r="Q78" s="138">
        <f t="shared" si="15"/>
        <v>4.3999999999999995</v>
      </c>
      <c r="R78" s="138">
        <v>6.6</v>
      </c>
      <c r="S78" s="138">
        <f t="shared" si="23"/>
        <v>7.26</v>
      </c>
      <c r="U78" s="138">
        <f t="shared" si="24"/>
        <v>2.2000000000000002</v>
      </c>
      <c r="V78" s="138">
        <f t="shared" si="16"/>
        <v>1.32</v>
      </c>
      <c r="W78" s="138">
        <f t="shared" si="17"/>
        <v>0.88000000000000012</v>
      </c>
      <c r="Z78" s="132">
        <v>1</v>
      </c>
      <c r="AA78" s="132">
        <f t="shared" si="18"/>
        <v>8</v>
      </c>
      <c r="AB78" s="132">
        <v>5</v>
      </c>
      <c r="AC78" s="132">
        <v>24</v>
      </c>
      <c r="AD78" s="132">
        <f t="shared" si="19"/>
        <v>15</v>
      </c>
      <c r="AE78" s="132">
        <v>0.4</v>
      </c>
      <c r="AF78" s="132">
        <f t="shared" si="20"/>
        <v>0.44000000000000006</v>
      </c>
      <c r="AG78" s="132">
        <f t="shared" si="21"/>
        <v>10.560000000000002</v>
      </c>
      <c r="AS78" s="132">
        <f t="shared" si="25"/>
        <v>8.7799999999999994</v>
      </c>
    </row>
    <row r="79" spans="1:45" hidden="1" x14ac:dyDescent="0.3">
      <c r="A79" s="134" t="s">
        <v>3</v>
      </c>
      <c r="B79" s="134" t="s">
        <v>132</v>
      </c>
      <c r="C79" s="134">
        <v>6</v>
      </c>
      <c r="D79" s="134" t="str">
        <f t="shared" si="22"/>
        <v>Mantenimiento y Cuidado</v>
      </c>
      <c r="F79" s="132">
        <v>2194</v>
      </c>
      <c r="G79" s="134">
        <f t="shared" si="26"/>
        <v>500</v>
      </c>
      <c r="H79" s="134" t="s">
        <v>126</v>
      </c>
      <c r="I79" s="134" t="s">
        <v>233</v>
      </c>
      <c r="J79" s="141">
        <f t="shared" si="27"/>
        <v>2194</v>
      </c>
      <c r="K79" s="141">
        <f t="shared" si="27"/>
        <v>500</v>
      </c>
      <c r="M79" s="138">
        <v>0.3</v>
      </c>
      <c r="N79" s="138">
        <v>0</v>
      </c>
      <c r="O79" s="138">
        <v>0.3</v>
      </c>
      <c r="P79" s="138">
        <v>0.3</v>
      </c>
      <c r="Q79" s="138">
        <f t="shared" si="15"/>
        <v>0.89999999999999991</v>
      </c>
      <c r="R79" s="138">
        <v>9.65</v>
      </c>
      <c r="S79" s="138">
        <f t="shared" si="23"/>
        <v>10.62</v>
      </c>
      <c r="U79" s="138">
        <f t="shared" si="24"/>
        <v>8.75</v>
      </c>
      <c r="V79" s="138">
        <f t="shared" si="16"/>
        <v>5.25</v>
      </c>
      <c r="W79" s="138">
        <f t="shared" si="17"/>
        <v>3.5</v>
      </c>
      <c r="AA79" s="132">
        <f t="shared" si="18"/>
        <v>0</v>
      </c>
      <c r="AB79" s="132">
        <v>5</v>
      </c>
      <c r="AD79" s="132">
        <f t="shared" si="19"/>
        <v>0</v>
      </c>
      <c r="AE79" s="132">
        <v>0.5</v>
      </c>
      <c r="AF79" s="132">
        <f t="shared" si="20"/>
        <v>0.55000000000000004</v>
      </c>
      <c r="AG79" s="132">
        <f t="shared" si="21"/>
        <v>0</v>
      </c>
      <c r="AS79" s="132">
        <f t="shared" si="25"/>
        <v>12.85</v>
      </c>
    </row>
    <row r="80" spans="1:45" x14ac:dyDescent="0.3">
      <c r="A80" s="137" t="s">
        <v>3</v>
      </c>
      <c r="B80" s="134" t="s">
        <v>132</v>
      </c>
      <c r="C80" s="134">
        <v>6</v>
      </c>
      <c r="D80" s="134" t="str">
        <f t="shared" si="22"/>
        <v>Mantenimiento y Cuidado</v>
      </c>
      <c r="F80" s="132">
        <v>2095</v>
      </c>
      <c r="G80" s="134">
        <f t="shared" si="26"/>
        <v>200</v>
      </c>
      <c r="H80" s="134" t="s">
        <v>127</v>
      </c>
      <c r="I80" s="132" t="s">
        <v>234</v>
      </c>
      <c r="J80" s="141">
        <f t="shared" si="27"/>
        <v>2095</v>
      </c>
      <c r="K80" s="141">
        <f t="shared" si="27"/>
        <v>200</v>
      </c>
      <c r="L80" s="138">
        <v>7.5</v>
      </c>
      <c r="M80" s="138">
        <v>0.3</v>
      </c>
      <c r="N80" s="138">
        <v>0</v>
      </c>
      <c r="O80" s="138">
        <v>0.3</v>
      </c>
      <c r="P80" s="138">
        <v>0.3</v>
      </c>
      <c r="Q80" s="138">
        <f t="shared" si="15"/>
        <v>8.4</v>
      </c>
      <c r="R80" s="138">
        <v>15.7</v>
      </c>
      <c r="S80" s="138">
        <f t="shared" si="23"/>
        <v>17.27</v>
      </c>
      <c r="U80" s="138">
        <f t="shared" si="24"/>
        <v>7.2999999999999989</v>
      </c>
      <c r="V80" s="138">
        <f t="shared" si="16"/>
        <v>4.379999999999999</v>
      </c>
      <c r="W80" s="138">
        <f t="shared" si="17"/>
        <v>2.92</v>
      </c>
      <c r="Z80" s="132">
        <v>1</v>
      </c>
      <c r="AA80" s="132">
        <f t="shared" si="18"/>
        <v>8</v>
      </c>
      <c r="AB80" s="132">
        <v>5</v>
      </c>
      <c r="AC80" s="132">
        <v>24</v>
      </c>
      <c r="AD80" s="132">
        <f t="shared" si="19"/>
        <v>15</v>
      </c>
      <c r="AE80" s="132">
        <v>0.2</v>
      </c>
      <c r="AF80" s="132">
        <f t="shared" si="20"/>
        <v>0.22000000000000003</v>
      </c>
      <c r="AG80" s="132">
        <f t="shared" si="21"/>
        <v>5.2800000000000011</v>
      </c>
      <c r="AS80" s="132">
        <f t="shared" si="25"/>
        <v>20.9</v>
      </c>
    </row>
    <row r="81" spans="1:45" hidden="1" x14ac:dyDescent="0.3">
      <c r="A81" s="134" t="s">
        <v>3</v>
      </c>
      <c r="B81" s="134" t="s">
        <v>132</v>
      </c>
      <c r="C81" s="134">
        <v>6</v>
      </c>
      <c r="D81" s="134" t="str">
        <f t="shared" si="22"/>
        <v>Mantenimiento y Cuidado</v>
      </c>
      <c r="F81" s="132">
        <v>2195</v>
      </c>
      <c r="G81" s="134">
        <f t="shared" si="26"/>
        <v>200</v>
      </c>
      <c r="H81" s="134" t="s">
        <v>128</v>
      </c>
      <c r="I81" s="134" t="s">
        <v>235</v>
      </c>
      <c r="J81" s="141">
        <f t="shared" si="27"/>
        <v>2195</v>
      </c>
      <c r="K81" s="141">
        <f t="shared" si="27"/>
        <v>200</v>
      </c>
      <c r="M81" s="138">
        <v>0.3</v>
      </c>
      <c r="N81" s="138">
        <v>0</v>
      </c>
      <c r="O81" s="138">
        <v>0.3</v>
      </c>
      <c r="P81" s="138">
        <v>0.3</v>
      </c>
      <c r="Q81" s="138">
        <f t="shared" si="15"/>
        <v>0.89999999999999991</v>
      </c>
      <c r="S81" s="138">
        <f t="shared" si="23"/>
        <v>0</v>
      </c>
      <c r="U81" s="138">
        <f t="shared" si="24"/>
        <v>-0.89999999999999991</v>
      </c>
      <c r="V81" s="138">
        <f t="shared" si="16"/>
        <v>-0.53999999999999992</v>
      </c>
      <c r="W81" s="138">
        <f t="shared" si="17"/>
        <v>-0.36</v>
      </c>
      <c r="AA81" s="132">
        <f t="shared" si="18"/>
        <v>0</v>
      </c>
      <c r="AB81" s="132">
        <v>5</v>
      </c>
      <c r="AD81" s="132">
        <f t="shared" si="19"/>
        <v>0</v>
      </c>
      <c r="AE81" s="132">
        <v>0.2</v>
      </c>
      <c r="AF81" s="132">
        <f t="shared" si="20"/>
        <v>0.22000000000000003</v>
      </c>
      <c r="AG81" s="132">
        <f t="shared" si="21"/>
        <v>0</v>
      </c>
      <c r="AS81" s="132">
        <f t="shared" si="25"/>
        <v>0</v>
      </c>
    </row>
    <row r="82" spans="1:45" x14ac:dyDescent="0.3">
      <c r="A82" s="137" t="s">
        <v>3</v>
      </c>
      <c r="B82" s="134" t="s">
        <v>132</v>
      </c>
      <c r="C82" s="134">
        <v>6</v>
      </c>
      <c r="D82" s="134" t="str">
        <f t="shared" si="22"/>
        <v>Mantenimiento y Cuidado</v>
      </c>
      <c r="F82" s="132">
        <v>2096</v>
      </c>
      <c r="G82" s="134">
        <f t="shared" si="26"/>
        <v>400</v>
      </c>
      <c r="H82" s="134" t="s">
        <v>109</v>
      </c>
      <c r="I82" s="132" t="s">
        <v>236</v>
      </c>
      <c r="J82" s="141">
        <f t="shared" si="27"/>
        <v>2096</v>
      </c>
      <c r="K82" s="141">
        <f t="shared" si="27"/>
        <v>400</v>
      </c>
      <c r="L82" s="138">
        <v>3.5</v>
      </c>
      <c r="M82" s="138">
        <v>0.3</v>
      </c>
      <c r="N82" s="138">
        <v>0</v>
      </c>
      <c r="O82" s="138">
        <v>0.3</v>
      </c>
      <c r="P82" s="138">
        <v>0.3</v>
      </c>
      <c r="Q82" s="138">
        <f t="shared" si="15"/>
        <v>4.3999999999999995</v>
      </c>
      <c r="R82" s="138">
        <v>4.8</v>
      </c>
      <c r="S82" s="138">
        <f t="shared" si="23"/>
        <v>5.28</v>
      </c>
      <c r="U82" s="138">
        <f t="shared" si="24"/>
        <v>0.40000000000000036</v>
      </c>
      <c r="V82" s="138">
        <f t="shared" si="16"/>
        <v>0.24000000000000021</v>
      </c>
      <c r="W82" s="138">
        <f t="shared" si="17"/>
        <v>0.16000000000000014</v>
      </c>
      <c r="Z82" s="132">
        <v>1</v>
      </c>
      <c r="AA82" s="132">
        <f t="shared" si="18"/>
        <v>8</v>
      </c>
      <c r="AB82" s="132">
        <v>5</v>
      </c>
      <c r="AC82" s="132">
        <v>24</v>
      </c>
      <c r="AD82" s="132">
        <f t="shared" si="19"/>
        <v>15</v>
      </c>
      <c r="AE82" s="132">
        <v>0.4</v>
      </c>
      <c r="AF82" s="132">
        <f t="shared" si="20"/>
        <v>0.44000000000000006</v>
      </c>
      <c r="AG82" s="132">
        <f t="shared" si="21"/>
        <v>10.560000000000002</v>
      </c>
      <c r="AS82" s="132">
        <f t="shared" si="25"/>
        <v>6.39</v>
      </c>
    </row>
    <row r="83" spans="1:45" x14ac:dyDescent="0.3">
      <c r="A83" s="137" t="s">
        <v>3</v>
      </c>
      <c r="B83" s="134" t="s">
        <v>132</v>
      </c>
      <c r="C83" s="134">
        <v>7</v>
      </c>
      <c r="D83" s="134" t="str">
        <f t="shared" si="22"/>
        <v>Carrocería</v>
      </c>
      <c r="F83" s="132">
        <v>2083</v>
      </c>
      <c r="G83" s="134">
        <f t="shared" si="26"/>
        <v>1000</v>
      </c>
      <c r="H83" s="134" t="s">
        <v>112</v>
      </c>
      <c r="I83" s="134" t="s">
        <v>238</v>
      </c>
      <c r="J83" s="141">
        <f t="shared" si="27"/>
        <v>2083</v>
      </c>
      <c r="K83" s="141">
        <f t="shared" si="27"/>
        <v>1000</v>
      </c>
      <c r="L83" s="138">
        <v>5.4</v>
      </c>
      <c r="M83" s="138">
        <v>0.3</v>
      </c>
      <c r="N83" s="138">
        <v>0</v>
      </c>
      <c r="O83" s="138">
        <v>0.3</v>
      </c>
      <c r="P83" s="138">
        <v>0.3</v>
      </c>
      <c r="Q83" s="138">
        <f t="shared" si="15"/>
        <v>6.3</v>
      </c>
      <c r="R83" s="138">
        <v>7.85</v>
      </c>
      <c r="S83" s="138">
        <f t="shared" si="23"/>
        <v>8.64</v>
      </c>
      <c r="T83" s="138">
        <v>12.7</v>
      </c>
      <c r="U83" s="138">
        <f t="shared" si="24"/>
        <v>1.5499999999999998</v>
      </c>
      <c r="V83" s="138">
        <f t="shared" si="16"/>
        <v>0.92999999999999983</v>
      </c>
      <c r="W83" s="138">
        <f t="shared" si="17"/>
        <v>0.62</v>
      </c>
      <c r="Z83" s="132">
        <v>1</v>
      </c>
      <c r="AA83" s="132">
        <f t="shared" si="18"/>
        <v>4</v>
      </c>
      <c r="AB83" s="132">
        <v>5</v>
      </c>
      <c r="AC83" s="132">
        <v>12</v>
      </c>
      <c r="AD83" s="132">
        <f t="shared" si="19"/>
        <v>10</v>
      </c>
      <c r="AE83" s="132">
        <v>1</v>
      </c>
      <c r="AF83" s="132">
        <f t="shared" si="20"/>
        <v>1.1000000000000001</v>
      </c>
      <c r="AG83" s="132">
        <f t="shared" si="21"/>
        <v>13.200000000000001</v>
      </c>
      <c r="AS83" s="132">
        <f t="shared" si="25"/>
        <v>10.45</v>
      </c>
    </row>
    <row r="84" spans="1:45" x14ac:dyDescent="0.3">
      <c r="A84" s="137" t="s">
        <v>3</v>
      </c>
      <c r="B84" s="134" t="s">
        <v>132</v>
      </c>
      <c r="C84" s="134">
        <v>7</v>
      </c>
      <c r="D84" s="134" t="str">
        <f t="shared" si="22"/>
        <v>Carrocería</v>
      </c>
      <c r="F84" s="132">
        <v>2090</v>
      </c>
      <c r="G84" s="134">
        <f t="shared" si="26"/>
        <v>400</v>
      </c>
      <c r="H84" s="134" t="s">
        <v>114</v>
      </c>
      <c r="I84" s="134" t="s">
        <v>239</v>
      </c>
      <c r="J84" s="141">
        <f t="shared" si="27"/>
        <v>2090</v>
      </c>
      <c r="K84" s="141">
        <f t="shared" si="27"/>
        <v>400</v>
      </c>
      <c r="L84" s="138">
        <v>3.5</v>
      </c>
      <c r="M84" s="138">
        <v>0.3</v>
      </c>
      <c r="N84" s="138">
        <v>0</v>
      </c>
      <c r="O84" s="138">
        <v>0.3</v>
      </c>
      <c r="P84" s="138">
        <v>0.3</v>
      </c>
      <c r="Q84" s="138">
        <f t="shared" si="15"/>
        <v>4.3999999999999995</v>
      </c>
      <c r="R84" s="138">
        <v>7.8</v>
      </c>
      <c r="S84" s="138">
        <f t="shared" si="23"/>
        <v>8.58</v>
      </c>
      <c r="U84" s="138">
        <f t="shared" si="24"/>
        <v>3.4000000000000004</v>
      </c>
      <c r="V84" s="138">
        <f t="shared" si="16"/>
        <v>2.04</v>
      </c>
      <c r="W84" s="138">
        <f t="shared" si="17"/>
        <v>1.3600000000000003</v>
      </c>
      <c r="Z84" s="132">
        <v>1</v>
      </c>
      <c r="AA84" s="132">
        <f t="shared" si="18"/>
        <v>8</v>
      </c>
      <c r="AB84" s="132">
        <v>5</v>
      </c>
      <c r="AC84" s="132">
        <v>24</v>
      </c>
      <c r="AD84" s="132">
        <f t="shared" si="19"/>
        <v>15</v>
      </c>
      <c r="AE84" s="132">
        <v>0.4</v>
      </c>
      <c r="AF84" s="132">
        <f t="shared" si="20"/>
        <v>0.44000000000000006</v>
      </c>
      <c r="AG84" s="132">
        <f t="shared" si="21"/>
        <v>10.560000000000002</v>
      </c>
      <c r="AS84" s="132">
        <f t="shared" si="25"/>
        <v>10.38</v>
      </c>
    </row>
    <row r="85" spans="1:45" x14ac:dyDescent="0.3">
      <c r="A85" s="137" t="s">
        <v>3</v>
      </c>
      <c r="B85" s="134" t="s">
        <v>132</v>
      </c>
      <c r="C85" s="134">
        <v>7</v>
      </c>
      <c r="D85" s="134" t="str">
        <f t="shared" si="22"/>
        <v>Carrocería</v>
      </c>
      <c r="F85" s="132">
        <v>2091</v>
      </c>
      <c r="G85" s="134">
        <f t="shared" si="26"/>
        <v>500</v>
      </c>
      <c r="H85" s="134" t="s">
        <v>115</v>
      </c>
      <c r="I85" s="134" t="s">
        <v>240</v>
      </c>
      <c r="J85" s="141">
        <f t="shared" si="27"/>
        <v>2091</v>
      </c>
      <c r="K85" s="141">
        <f t="shared" si="27"/>
        <v>500</v>
      </c>
      <c r="L85" s="138">
        <v>3.9</v>
      </c>
      <c r="M85" s="138">
        <v>0.3</v>
      </c>
      <c r="N85" s="138">
        <v>0</v>
      </c>
      <c r="O85" s="138">
        <v>0.3</v>
      </c>
      <c r="P85" s="138">
        <v>0.3</v>
      </c>
      <c r="Q85" s="138">
        <f t="shared" si="15"/>
        <v>4.8</v>
      </c>
      <c r="R85" s="138">
        <v>5.9</v>
      </c>
      <c r="S85" s="138">
        <f t="shared" si="23"/>
        <v>6.49</v>
      </c>
      <c r="U85" s="138">
        <f t="shared" si="24"/>
        <v>1.1000000000000005</v>
      </c>
      <c r="V85" s="138">
        <f t="shared" si="16"/>
        <v>0.66000000000000025</v>
      </c>
      <c r="W85" s="138">
        <f t="shared" si="17"/>
        <v>0.44000000000000022</v>
      </c>
      <c r="Z85" s="132">
        <v>1</v>
      </c>
      <c r="AA85" s="132">
        <f t="shared" si="18"/>
        <v>4</v>
      </c>
      <c r="AB85" s="132">
        <v>5</v>
      </c>
      <c r="AC85" s="132">
        <v>12</v>
      </c>
      <c r="AD85" s="132">
        <f t="shared" si="19"/>
        <v>10</v>
      </c>
      <c r="AE85" s="132">
        <v>0.5</v>
      </c>
      <c r="AF85" s="132">
        <f t="shared" si="20"/>
        <v>0.55000000000000004</v>
      </c>
      <c r="AG85" s="132">
        <f t="shared" si="21"/>
        <v>6.6000000000000005</v>
      </c>
      <c r="AS85" s="132">
        <f t="shared" si="25"/>
        <v>7.85</v>
      </c>
    </row>
    <row r="86" spans="1:45" hidden="1" x14ac:dyDescent="0.3">
      <c r="A86" s="134" t="s">
        <v>3</v>
      </c>
      <c r="B86" s="134" t="s">
        <v>132</v>
      </c>
      <c r="C86" s="134">
        <v>7</v>
      </c>
      <c r="D86" s="134" t="str">
        <f t="shared" si="22"/>
        <v>Carrocería</v>
      </c>
      <c r="F86" s="132">
        <v>2092</v>
      </c>
      <c r="G86" s="134">
        <f t="shared" si="26"/>
        <v>500</v>
      </c>
      <c r="H86" s="134" t="s">
        <v>116</v>
      </c>
      <c r="I86" s="134" t="s">
        <v>241</v>
      </c>
      <c r="J86" s="141">
        <f t="shared" si="27"/>
        <v>2092</v>
      </c>
      <c r="K86" s="141">
        <f t="shared" si="27"/>
        <v>500</v>
      </c>
      <c r="M86" s="138">
        <v>0.3</v>
      </c>
      <c r="N86" s="138">
        <v>0</v>
      </c>
      <c r="O86" s="138">
        <v>0.3</v>
      </c>
      <c r="P86" s="138">
        <v>0.3</v>
      </c>
      <c r="Q86" s="138">
        <f t="shared" si="15"/>
        <v>0.89999999999999991</v>
      </c>
      <c r="R86" s="138">
        <v>6.2</v>
      </c>
      <c r="S86" s="138">
        <f t="shared" si="23"/>
        <v>6.82</v>
      </c>
      <c r="U86" s="138">
        <f t="shared" si="24"/>
        <v>5.3000000000000007</v>
      </c>
      <c r="V86" s="138">
        <f t="shared" si="16"/>
        <v>3.18</v>
      </c>
      <c r="W86" s="138">
        <f t="shared" si="17"/>
        <v>2.1200000000000006</v>
      </c>
      <c r="AA86" s="132">
        <f t="shared" si="18"/>
        <v>0</v>
      </c>
      <c r="AB86" s="132">
        <v>5</v>
      </c>
      <c r="AD86" s="132">
        <f t="shared" si="19"/>
        <v>0</v>
      </c>
      <c r="AE86" s="132">
        <v>0.5</v>
      </c>
      <c r="AF86" s="132">
        <f t="shared" si="20"/>
        <v>0.55000000000000004</v>
      </c>
      <c r="AG86" s="132">
        <f t="shared" si="21"/>
        <v>0</v>
      </c>
      <c r="AS86" s="132">
        <f t="shared" si="25"/>
        <v>8.25</v>
      </c>
    </row>
    <row r="87" spans="1:45" x14ac:dyDescent="0.3">
      <c r="A87" s="137" t="s">
        <v>3</v>
      </c>
      <c r="B87" s="134" t="s">
        <v>132</v>
      </c>
      <c r="C87" s="134">
        <v>7</v>
      </c>
      <c r="D87" s="134" t="str">
        <f t="shared" si="22"/>
        <v>Carrocería</v>
      </c>
      <c r="F87" s="132">
        <v>2199</v>
      </c>
      <c r="G87" s="134">
        <f t="shared" si="26"/>
        <v>50</v>
      </c>
      <c r="H87" s="134" t="s">
        <v>117</v>
      </c>
      <c r="I87" s="134" t="s">
        <v>332</v>
      </c>
      <c r="J87" s="141">
        <f t="shared" si="27"/>
        <v>2199</v>
      </c>
      <c r="K87" s="141">
        <f t="shared" si="27"/>
        <v>50</v>
      </c>
      <c r="L87" s="138">
        <v>7.75</v>
      </c>
      <c r="M87" s="138">
        <v>0.3</v>
      </c>
      <c r="N87" s="138">
        <v>0</v>
      </c>
      <c r="O87" s="138">
        <v>0.3</v>
      </c>
      <c r="P87" s="138">
        <v>0.3</v>
      </c>
      <c r="Q87" s="138">
        <f t="shared" si="15"/>
        <v>8.6500000000000021</v>
      </c>
      <c r="R87" s="138">
        <v>15.6</v>
      </c>
      <c r="S87" s="138">
        <f t="shared" si="23"/>
        <v>17.16</v>
      </c>
      <c r="U87" s="138">
        <f t="shared" si="24"/>
        <v>6.9499999999999975</v>
      </c>
      <c r="V87" s="138">
        <f t="shared" si="16"/>
        <v>4.1699999999999982</v>
      </c>
      <c r="W87" s="138">
        <f t="shared" si="17"/>
        <v>2.7799999999999994</v>
      </c>
      <c r="Z87" s="132">
        <v>1</v>
      </c>
      <c r="AA87" s="132">
        <f t="shared" si="18"/>
        <v>4</v>
      </c>
      <c r="AB87" s="132">
        <v>5</v>
      </c>
      <c r="AC87" s="132">
        <v>12</v>
      </c>
      <c r="AD87" s="132">
        <f t="shared" si="19"/>
        <v>10</v>
      </c>
      <c r="AE87" s="132">
        <v>0.05</v>
      </c>
      <c r="AF87" s="132">
        <f t="shared" si="20"/>
        <v>5.5000000000000007E-2</v>
      </c>
      <c r="AG87" s="132">
        <f t="shared" si="21"/>
        <v>0.66000000000000014</v>
      </c>
      <c r="AS87" s="132">
        <f t="shared" si="25"/>
        <v>20.76</v>
      </c>
    </row>
    <row r="88" spans="1:45" x14ac:dyDescent="0.3">
      <c r="A88" s="137" t="s">
        <v>3</v>
      </c>
      <c r="B88" s="134" t="s">
        <v>132</v>
      </c>
      <c r="C88" s="134">
        <v>7</v>
      </c>
      <c r="D88" s="134" t="str">
        <f t="shared" si="22"/>
        <v>Carrocería</v>
      </c>
      <c r="F88" s="132">
        <v>2399</v>
      </c>
      <c r="G88" s="134">
        <f t="shared" si="26"/>
        <v>50</v>
      </c>
      <c r="H88" s="134" t="s">
        <v>117</v>
      </c>
      <c r="I88" s="134" t="s">
        <v>333</v>
      </c>
      <c r="J88" s="141">
        <f t="shared" si="27"/>
        <v>2399</v>
      </c>
      <c r="K88" s="141">
        <f t="shared" si="27"/>
        <v>50</v>
      </c>
      <c r="L88" s="138">
        <v>7.75</v>
      </c>
      <c r="M88" s="138">
        <v>0.3</v>
      </c>
      <c r="N88" s="138">
        <v>0</v>
      </c>
      <c r="O88" s="138">
        <v>0.3</v>
      </c>
      <c r="P88" s="138">
        <v>0.3</v>
      </c>
      <c r="Q88" s="138">
        <f t="shared" si="15"/>
        <v>8.6500000000000021</v>
      </c>
      <c r="R88" s="138">
        <v>15.6</v>
      </c>
      <c r="S88" s="138">
        <f t="shared" si="23"/>
        <v>17.16</v>
      </c>
      <c r="U88" s="138">
        <f t="shared" si="24"/>
        <v>6.9499999999999975</v>
      </c>
      <c r="V88" s="138">
        <f t="shared" si="16"/>
        <v>4.1699999999999982</v>
      </c>
      <c r="W88" s="138">
        <f t="shared" si="17"/>
        <v>2.7799999999999994</v>
      </c>
      <c r="Z88" s="132">
        <v>1</v>
      </c>
      <c r="AA88" s="132">
        <f t="shared" si="18"/>
        <v>4</v>
      </c>
      <c r="AB88" s="132">
        <v>5</v>
      </c>
      <c r="AC88" s="132">
        <v>12</v>
      </c>
      <c r="AD88" s="132">
        <f t="shared" si="19"/>
        <v>10</v>
      </c>
      <c r="AE88" s="132">
        <v>0.05</v>
      </c>
      <c r="AF88" s="132">
        <f t="shared" si="20"/>
        <v>5.5000000000000007E-2</v>
      </c>
      <c r="AG88" s="132">
        <f t="shared" si="21"/>
        <v>0.66000000000000014</v>
      </c>
      <c r="AS88" s="132">
        <f t="shared" si="25"/>
        <v>20.76</v>
      </c>
    </row>
    <row r="89" spans="1:45" x14ac:dyDescent="0.3">
      <c r="A89" s="137" t="s">
        <v>3</v>
      </c>
      <c r="B89" s="134" t="s">
        <v>131</v>
      </c>
      <c r="C89" s="134"/>
      <c r="D89" s="134" t="str">
        <f t="shared" si="22"/>
        <v/>
      </c>
      <c r="E89" s="134">
        <v>1</v>
      </c>
      <c r="F89" s="134">
        <v>2010</v>
      </c>
      <c r="G89" s="134">
        <f t="shared" si="26"/>
        <v>400</v>
      </c>
      <c r="H89" s="134" t="s">
        <v>21</v>
      </c>
      <c r="I89" s="134" t="s">
        <v>285</v>
      </c>
      <c r="J89" s="141">
        <f t="shared" si="27"/>
        <v>2010</v>
      </c>
      <c r="K89" s="141">
        <f t="shared" si="27"/>
        <v>400</v>
      </c>
      <c r="L89" s="138">
        <v>2.95</v>
      </c>
      <c r="M89" s="138">
        <v>0.3</v>
      </c>
      <c r="N89" s="138">
        <v>0</v>
      </c>
      <c r="O89" s="138">
        <v>0.3</v>
      </c>
      <c r="P89" s="138">
        <v>0.3</v>
      </c>
      <c r="Q89" s="138">
        <f t="shared" si="15"/>
        <v>3.8499999999999996</v>
      </c>
      <c r="R89" s="138">
        <v>9.35</v>
      </c>
      <c r="S89" s="138">
        <f t="shared" si="23"/>
        <v>10.29</v>
      </c>
      <c r="T89" s="138">
        <v>16.850000000000001</v>
      </c>
      <c r="U89" s="138">
        <f t="shared" si="24"/>
        <v>5.5</v>
      </c>
      <c r="V89" s="138">
        <f t="shared" si="16"/>
        <v>3.3</v>
      </c>
      <c r="W89" s="138">
        <f t="shared" si="17"/>
        <v>2.2000000000000002</v>
      </c>
      <c r="Z89" s="132">
        <v>1</v>
      </c>
      <c r="AA89" s="132">
        <f t="shared" si="18"/>
        <v>8</v>
      </c>
      <c r="AB89" s="132">
        <v>5</v>
      </c>
      <c r="AC89" s="132">
        <v>24</v>
      </c>
      <c r="AD89" s="132">
        <f t="shared" si="19"/>
        <v>15</v>
      </c>
      <c r="AE89" s="132">
        <v>0.4</v>
      </c>
      <c r="AF89" s="132">
        <f t="shared" si="20"/>
        <v>0.44000000000000006</v>
      </c>
      <c r="AG89" s="132">
        <f t="shared" si="21"/>
        <v>10.560000000000002</v>
      </c>
      <c r="AI89" s="132">
        <v>1</v>
      </c>
      <c r="AK89" s="132">
        <v>2</v>
      </c>
      <c r="AS89" s="132">
        <f t="shared" si="25"/>
        <v>12.45</v>
      </c>
    </row>
    <row r="90" spans="1:45" x14ac:dyDescent="0.3">
      <c r="A90" s="137" t="s">
        <v>3</v>
      </c>
      <c r="B90" s="134" t="s">
        <v>131</v>
      </c>
      <c r="C90" s="134"/>
      <c r="D90" s="134" t="str">
        <f t="shared" si="22"/>
        <v/>
      </c>
      <c r="E90" s="134">
        <v>1</v>
      </c>
      <c r="F90" s="134" t="s">
        <v>19</v>
      </c>
      <c r="G90" s="134">
        <f t="shared" si="26"/>
        <v>300</v>
      </c>
      <c r="H90" s="134" t="s">
        <v>21</v>
      </c>
      <c r="I90" s="134" t="s">
        <v>286</v>
      </c>
      <c r="J90" s="141" t="str">
        <f t="shared" si="27"/>
        <v>2010-300</v>
      </c>
      <c r="K90" s="141">
        <f t="shared" si="27"/>
        <v>300</v>
      </c>
      <c r="L90" s="138">
        <v>2.4500000000000002</v>
      </c>
      <c r="M90" s="138">
        <v>0.3</v>
      </c>
      <c r="N90" s="138">
        <v>0</v>
      </c>
      <c r="O90" s="138">
        <v>0.3</v>
      </c>
      <c r="P90" s="138">
        <v>0.3</v>
      </c>
      <c r="Q90" s="138">
        <f t="shared" si="15"/>
        <v>3.3499999999999996</v>
      </c>
      <c r="R90" s="138">
        <v>7.4</v>
      </c>
      <c r="S90" s="138">
        <f t="shared" si="23"/>
        <v>8.14</v>
      </c>
      <c r="T90" s="138">
        <v>12.65</v>
      </c>
      <c r="U90" s="138">
        <f t="shared" si="24"/>
        <v>4.0500000000000007</v>
      </c>
      <c r="V90" s="138">
        <f t="shared" si="16"/>
        <v>2.4300000000000002</v>
      </c>
      <c r="W90" s="138">
        <f t="shared" si="17"/>
        <v>1.6200000000000003</v>
      </c>
      <c r="Z90" s="132">
        <v>1</v>
      </c>
      <c r="AA90" s="132">
        <f t="shared" si="18"/>
        <v>8</v>
      </c>
      <c r="AB90" s="132">
        <v>5</v>
      </c>
      <c r="AC90" s="132">
        <v>24</v>
      </c>
      <c r="AD90" s="132">
        <f t="shared" si="19"/>
        <v>15</v>
      </c>
      <c r="AE90" s="132">
        <v>0.3</v>
      </c>
      <c r="AF90" s="132">
        <f t="shared" si="20"/>
        <v>0.33</v>
      </c>
      <c r="AG90" s="132">
        <f t="shared" si="21"/>
        <v>7.92</v>
      </c>
      <c r="AI90" s="132">
        <v>1</v>
      </c>
      <c r="AK90" s="132">
        <v>2</v>
      </c>
      <c r="AS90" s="132">
        <f t="shared" si="25"/>
        <v>9.85</v>
      </c>
    </row>
    <row r="91" spans="1:45" hidden="1" x14ac:dyDescent="0.3">
      <c r="A91" s="137" t="s">
        <v>3</v>
      </c>
      <c r="B91" s="134" t="s">
        <v>131</v>
      </c>
      <c r="C91" s="134"/>
      <c r="D91" s="134" t="str">
        <f t="shared" si="22"/>
        <v/>
      </c>
      <c r="E91" s="134">
        <v>1</v>
      </c>
      <c r="F91" s="134">
        <v>2017</v>
      </c>
      <c r="G91" s="134">
        <f t="shared" si="26"/>
        <v>400</v>
      </c>
      <c r="H91" s="134" t="s">
        <v>35</v>
      </c>
      <c r="I91" s="134" t="s">
        <v>177</v>
      </c>
      <c r="J91" s="141">
        <f t="shared" si="27"/>
        <v>2017</v>
      </c>
      <c r="K91" s="141">
        <f t="shared" si="27"/>
        <v>400</v>
      </c>
      <c r="L91" s="138">
        <v>3.65</v>
      </c>
      <c r="M91" s="138">
        <v>0.3</v>
      </c>
      <c r="N91" s="138">
        <v>0</v>
      </c>
      <c r="O91" s="138">
        <v>0.3</v>
      </c>
      <c r="P91" s="138">
        <v>0.3</v>
      </c>
      <c r="Q91" s="138">
        <f t="shared" si="15"/>
        <v>4.55</v>
      </c>
      <c r="R91" s="135"/>
      <c r="S91" s="138">
        <f t="shared" si="23"/>
        <v>0</v>
      </c>
      <c r="T91" s="135"/>
      <c r="U91" s="138">
        <f t="shared" si="24"/>
        <v>-4.55</v>
      </c>
      <c r="V91" s="138">
        <f t="shared" si="16"/>
        <v>-2.73</v>
      </c>
      <c r="W91" s="138">
        <f t="shared" si="17"/>
        <v>-1.82</v>
      </c>
      <c r="Z91" s="132">
        <v>1</v>
      </c>
      <c r="AA91" s="132">
        <f t="shared" si="18"/>
        <v>8</v>
      </c>
      <c r="AB91" s="132">
        <v>5</v>
      </c>
      <c r="AC91" s="132">
        <v>24</v>
      </c>
      <c r="AD91" s="132">
        <f t="shared" si="19"/>
        <v>15</v>
      </c>
      <c r="AE91" s="132">
        <v>0.4</v>
      </c>
      <c r="AF91" s="132">
        <f t="shared" si="20"/>
        <v>0.44000000000000006</v>
      </c>
      <c r="AG91" s="132">
        <f t="shared" si="21"/>
        <v>10.560000000000002</v>
      </c>
      <c r="AK91" s="132">
        <v>1</v>
      </c>
      <c r="AS91" s="132">
        <f t="shared" si="25"/>
        <v>0</v>
      </c>
    </row>
    <row r="92" spans="1:45" x14ac:dyDescent="0.3">
      <c r="A92" s="137" t="s">
        <v>3</v>
      </c>
      <c r="B92" s="134" t="s">
        <v>131</v>
      </c>
      <c r="C92" s="134"/>
      <c r="D92" s="134" t="str">
        <f t="shared" si="22"/>
        <v/>
      </c>
      <c r="E92" s="134">
        <v>0</v>
      </c>
      <c r="F92" s="134">
        <v>2028</v>
      </c>
      <c r="G92" s="134">
        <f t="shared" si="26"/>
        <v>1000</v>
      </c>
      <c r="H92" s="134" t="s">
        <v>39</v>
      </c>
      <c r="I92" s="134" t="s">
        <v>170</v>
      </c>
      <c r="J92" s="141">
        <f t="shared" si="27"/>
        <v>2028</v>
      </c>
      <c r="K92" s="141">
        <f t="shared" si="27"/>
        <v>1000</v>
      </c>
      <c r="L92" s="138">
        <v>5.65</v>
      </c>
      <c r="M92" s="138">
        <v>0.3</v>
      </c>
      <c r="N92" s="138">
        <v>0</v>
      </c>
      <c r="O92" s="138">
        <v>0.3</v>
      </c>
      <c r="P92" s="138">
        <v>0.3</v>
      </c>
      <c r="Q92" s="138">
        <f t="shared" si="15"/>
        <v>6.55</v>
      </c>
      <c r="R92" s="138">
        <v>9.1999999999999993</v>
      </c>
      <c r="S92" s="138">
        <f t="shared" si="23"/>
        <v>10.119999999999999</v>
      </c>
      <c r="T92" s="138">
        <v>12.85</v>
      </c>
      <c r="U92" s="138">
        <f t="shared" si="24"/>
        <v>2.6499999999999995</v>
      </c>
      <c r="V92" s="138">
        <f t="shared" si="16"/>
        <v>1.5899999999999996</v>
      </c>
      <c r="W92" s="138">
        <f t="shared" si="17"/>
        <v>1.0599999999999998</v>
      </c>
      <c r="Z92" s="132">
        <v>1</v>
      </c>
      <c r="AA92" s="132">
        <f t="shared" si="18"/>
        <v>4</v>
      </c>
      <c r="AB92" s="132">
        <v>5</v>
      </c>
      <c r="AC92" s="132">
        <v>12</v>
      </c>
      <c r="AD92" s="132">
        <f t="shared" si="19"/>
        <v>10</v>
      </c>
      <c r="AE92" s="132">
        <v>1</v>
      </c>
      <c r="AF92" s="132">
        <f t="shared" si="20"/>
        <v>1.1000000000000001</v>
      </c>
      <c r="AG92" s="132">
        <f t="shared" si="21"/>
        <v>13.200000000000001</v>
      </c>
      <c r="AK92" s="132">
        <v>0</v>
      </c>
      <c r="AS92" s="132">
        <f t="shared" si="25"/>
        <v>12.25</v>
      </c>
    </row>
    <row r="93" spans="1:45" hidden="1" x14ac:dyDescent="0.3">
      <c r="A93" s="137" t="s">
        <v>3</v>
      </c>
      <c r="B93" s="134" t="s">
        <v>131</v>
      </c>
      <c r="C93" s="134"/>
      <c r="D93" s="134" t="str">
        <f t="shared" si="22"/>
        <v/>
      </c>
      <c r="E93" s="134">
        <v>1</v>
      </c>
      <c r="F93" s="134" t="s">
        <v>48</v>
      </c>
      <c r="G93" s="134">
        <f t="shared" si="26"/>
        <v>100</v>
      </c>
      <c r="H93" s="134" t="s">
        <v>51</v>
      </c>
      <c r="I93" s="134" t="s">
        <v>184</v>
      </c>
      <c r="J93" s="141" t="str">
        <f t="shared" si="27"/>
        <v>1996-45</v>
      </c>
      <c r="K93" s="141">
        <f t="shared" si="27"/>
        <v>100</v>
      </c>
      <c r="L93" s="138">
        <v>20</v>
      </c>
      <c r="M93" s="138">
        <v>0.3</v>
      </c>
      <c r="N93" s="138">
        <v>0</v>
      </c>
      <c r="O93" s="138">
        <v>0.3</v>
      </c>
      <c r="P93" s="138">
        <v>0.3</v>
      </c>
      <c r="Q93" s="138">
        <f t="shared" si="15"/>
        <v>20.900000000000002</v>
      </c>
      <c r="S93" s="138">
        <f t="shared" si="23"/>
        <v>0</v>
      </c>
      <c r="U93" s="138">
        <f t="shared" si="24"/>
        <v>-20.900000000000002</v>
      </c>
      <c r="V93" s="138">
        <f t="shared" si="16"/>
        <v>-12.540000000000001</v>
      </c>
      <c r="W93" s="138">
        <f t="shared" si="17"/>
        <v>-8.3600000000000012</v>
      </c>
      <c r="Z93" s="132">
        <v>1</v>
      </c>
      <c r="AA93" s="132">
        <f t="shared" si="18"/>
        <v>0</v>
      </c>
      <c r="AB93" s="132">
        <v>5</v>
      </c>
      <c r="AC93" s="132">
        <v>1</v>
      </c>
      <c r="AD93" s="132">
        <f t="shared" si="19"/>
        <v>0</v>
      </c>
      <c r="AE93" s="132">
        <v>0.1</v>
      </c>
      <c r="AF93" s="132">
        <f t="shared" si="20"/>
        <v>0.11000000000000001</v>
      </c>
      <c r="AG93" s="132">
        <f t="shared" si="21"/>
        <v>0.11000000000000001</v>
      </c>
      <c r="AK93" s="132">
        <v>1</v>
      </c>
      <c r="AS93" s="132">
        <f t="shared" si="25"/>
        <v>0</v>
      </c>
    </row>
    <row r="94" spans="1:45" hidden="1" x14ac:dyDescent="0.3">
      <c r="A94" s="137" t="s">
        <v>3</v>
      </c>
      <c r="B94" s="134" t="s">
        <v>131</v>
      </c>
      <c r="C94" s="134"/>
      <c r="D94" s="134" t="str">
        <f t="shared" si="22"/>
        <v/>
      </c>
      <c r="E94" s="134">
        <v>1</v>
      </c>
      <c r="F94" s="134" t="s">
        <v>49</v>
      </c>
      <c r="G94" s="134">
        <f t="shared" si="26"/>
        <v>100</v>
      </c>
      <c r="H94" s="134" t="s">
        <v>50</v>
      </c>
      <c r="I94" s="134" t="s">
        <v>185</v>
      </c>
      <c r="J94" s="141" t="str">
        <f t="shared" si="27"/>
        <v>1996-60</v>
      </c>
      <c r="K94" s="141">
        <f t="shared" si="27"/>
        <v>100</v>
      </c>
      <c r="L94" s="138">
        <v>25</v>
      </c>
      <c r="M94" s="138">
        <v>0.3</v>
      </c>
      <c r="N94" s="138">
        <v>0</v>
      </c>
      <c r="O94" s="138">
        <v>0.3</v>
      </c>
      <c r="P94" s="138">
        <v>0.3</v>
      </c>
      <c r="Q94" s="138">
        <f t="shared" si="15"/>
        <v>25.900000000000002</v>
      </c>
      <c r="S94" s="138">
        <f t="shared" si="23"/>
        <v>0</v>
      </c>
      <c r="U94" s="138">
        <f t="shared" si="24"/>
        <v>-25.900000000000002</v>
      </c>
      <c r="V94" s="138">
        <f t="shared" si="16"/>
        <v>-15.540000000000001</v>
      </c>
      <c r="W94" s="138">
        <f t="shared" si="17"/>
        <v>-10.360000000000001</v>
      </c>
      <c r="Z94" s="132">
        <v>1</v>
      </c>
      <c r="AA94" s="132">
        <f t="shared" si="18"/>
        <v>0</v>
      </c>
      <c r="AB94" s="132">
        <v>5</v>
      </c>
      <c r="AC94" s="132">
        <v>1</v>
      </c>
      <c r="AD94" s="132">
        <f t="shared" si="19"/>
        <v>0</v>
      </c>
      <c r="AE94" s="132">
        <v>0.1</v>
      </c>
      <c r="AF94" s="132">
        <f t="shared" si="20"/>
        <v>0.11000000000000001</v>
      </c>
      <c r="AG94" s="132">
        <f t="shared" si="21"/>
        <v>0.11000000000000001</v>
      </c>
      <c r="AK94" s="132">
        <v>1</v>
      </c>
      <c r="AS94" s="132">
        <f t="shared" si="25"/>
        <v>0</v>
      </c>
    </row>
    <row r="95" spans="1:45" x14ac:dyDescent="0.3">
      <c r="A95" s="137" t="s">
        <v>3</v>
      </c>
      <c r="B95" s="134" t="s">
        <v>131</v>
      </c>
      <c r="C95" s="134"/>
      <c r="D95" s="134" t="str">
        <f t="shared" si="22"/>
        <v/>
      </c>
      <c r="E95" s="134">
        <v>1</v>
      </c>
      <c r="F95" s="134">
        <v>2006</v>
      </c>
      <c r="G95" s="134">
        <f t="shared" si="26"/>
        <v>1000</v>
      </c>
      <c r="H95" s="134" t="s">
        <v>40</v>
      </c>
      <c r="I95" s="134" t="s">
        <v>186</v>
      </c>
      <c r="J95" s="141">
        <f t="shared" si="27"/>
        <v>2006</v>
      </c>
      <c r="K95" s="141" t="s">
        <v>246</v>
      </c>
      <c r="L95" s="138">
        <v>87.45</v>
      </c>
      <c r="M95" s="138">
        <v>0.3</v>
      </c>
      <c r="N95" s="138">
        <v>0</v>
      </c>
      <c r="O95" s="138">
        <v>0.3</v>
      </c>
      <c r="P95" s="138">
        <v>0.3</v>
      </c>
      <c r="Q95" s="138">
        <f t="shared" si="15"/>
        <v>88.35</v>
      </c>
      <c r="R95" s="138">
        <v>135</v>
      </c>
      <c r="S95" s="138">
        <f t="shared" si="23"/>
        <v>148.5</v>
      </c>
      <c r="U95" s="138">
        <f t="shared" si="24"/>
        <v>46.650000000000006</v>
      </c>
      <c r="V95" s="138">
        <f t="shared" si="16"/>
        <v>27.990000000000002</v>
      </c>
      <c r="W95" s="138">
        <f t="shared" si="17"/>
        <v>18.660000000000004</v>
      </c>
      <c r="Z95" s="132">
        <v>1</v>
      </c>
      <c r="AA95" s="132">
        <f t="shared" si="18"/>
        <v>0</v>
      </c>
      <c r="AB95" s="132">
        <v>5</v>
      </c>
      <c r="AC95" s="132">
        <v>1</v>
      </c>
      <c r="AD95" s="132">
        <f t="shared" si="19"/>
        <v>0</v>
      </c>
      <c r="AE95" s="132">
        <v>1</v>
      </c>
      <c r="AF95" s="132">
        <f t="shared" si="20"/>
        <v>1.1000000000000001</v>
      </c>
      <c r="AG95" s="132">
        <f t="shared" si="21"/>
        <v>1.1000000000000001</v>
      </c>
      <c r="AK95" s="132">
        <v>1</v>
      </c>
      <c r="AS95" s="132">
        <f t="shared" si="25"/>
        <v>179.69</v>
      </c>
    </row>
    <row r="96" spans="1:45" x14ac:dyDescent="0.3">
      <c r="A96" s="137" t="s">
        <v>3</v>
      </c>
      <c r="B96" s="134" t="s">
        <v>131</v>
      </c>
      <c r="C96" s="134"/>
      <c r="D96" s="134" t="str">
        <f t="shared" si="22"/>
        <v/>
      </c>
      <c r="E96" s="134"/>
      <c r="F96" s="134">
        <v>7030001</v>
      </c>
      <c r="G96" s="134">
        <f t="shared" si="26"/>
        <v>1000</v>
      </c>
      <c r="H96" s="134" t="s">
        <v>134</v>
      </c>
      <c r="I96" s="134" t="s">
        <v>134</v>
      </c>
      <c r="J96" s="141">
        <f t="shared" si="27"/>
        <v>7030001</v>
      </c>
      <c r="K96" s="141">
        <f t="shared" si="27"/>
        <v>1000</v>
      </c>
      <c r="L96" s="138">
        <v>13.5</v>
      </c>
      <c r="M96" s="138">
        <v>0.3</v>
      </c>
      <c r="N96" s="138">
        <v>0</v>
      </c>
      <c r="O96" s="138">
        <v>0.3</v>
      </c>
      <c r="P96" s="138">
        <v>0.3</v>
      </c>
      <c r="Q96" s="138">
        <f t="shared" si="15"/>
        <v>14.400000000000002</v>
      </c>
      <c r="R96" s="138">
        <v>19.75</v>
      </c>
      <c r="S96" s="138">
        <f t="shared" si="23"/>
        <v>21.73</v>
      </c>
      <c r="T96" s="138">
        <v>32.9</v>
      </c>
      <c r="U96" s="138">
        <f t="shared" si="24"/>
        <v>5.3499999999999979</v>
      </c>
      <c r="V96" s="138">
        <f t="shared" si="16"/>
        <v>3.2099999999999986</v>
      </c>
      <c r="W96" s="138">
        <f t="shared" si="17"/>
        <v>2.1399999999999992</v>
      </c>
      <c r="Z96" s="132">
        <v>1</v>
      </c>
      <c r="AA96" s="132">
        <f t="shared" si="18"/>
        <v>4</v>
      </c>
      <c r="AB96" s="132">
        <v>5</v>
      </c>
      <c r="AC96" s="132">
        <v>12</v>
      </c>
      <c r="AD96" s="132">
        <f t="shared" si="19"/>
        <v>10</v>
      </c>
      <c r="AE96" s="132">
        <v>1</v>
      </c>
      <c r="AF96" s="132">
        <f t="shared" si="20"/>
        <v>1.1000000000000001</v>
      </c>
      <c r="AG96" s="132">
        <f t="shared" si="21"/>
        <v>13.200000000000001</v>
      </c>
      <c r="AS96" s="132">
        <f t="shared" si="25"/>
        <v>26.29</v>
      </c>
    </row>
    <row r="97" spans="1:45" x14ac:dyDescent="0.3">
      <c r="A97" s="137" t="s">
        <v>3</v>
      </c>
      <c r="B97" s="134" t="s">
        <v>131</v>
      </c>
      <c r="C97" s="134"/>
      <c r="D97" s="134" t="str">
        <f t="shared" si="22"/>
        <v/>
      </c>
      <c r="E97" s="134"/>
      <c r="F97" s="134">
        <v>7031001</v>
      </c>
      <c r="G97" s="134">
        <f t="shared" si="26"/>
        <v>1000</v>
      </c>
      <c r="H97" s="134" t="s">
        <v>135</v>
      </c>
      <c r="I97" s="134" t="s">
        <v>189</v>
      </c>
      <c r="J97" s="141">
        <f t="shared" si="27"/>
        <v>7031001</v>
      </c>
      <c r="K97" s="141">
        <f t="shared" si="27"/>
        <v>1000</v>
      </c>
      <c r="L97" s="138">
        <v>14.5</v>
      </c>
      <c r="M97" s="138">
        <v>0.3</v>
      </c>
      <c r="N97" s="138">
        <v>0</v>
      </c>
      <c r="O97" s="138">
        <v>0.3</v>
      </c>
      <c r="P97" s="138">
        <v>0.3</v>
      </c>
      <c r="Q97" s="138">
        <f t="shared" si="15"/>
        <v>15.400000000000002</v>
      </c>
      <c r="R97" s="138">
        <v>20</v>
      </c>
      <c r="S97" s="138">
        <f t="shared" si="23"/>
        <v>22</v>
      </c>
      <c r="T97" s="138">
        <v>32.6</v>
      </c>
      <c r="U97" s="138">
        <f t="shared" si="24"/>
        <v>4.5999999999999979</v>
      </c>
      <c r="V97" s="138">
        <f t="shared" si="16"/>
        <v>2.7599999999999985</v>
      </c>
      <c r="W97" s="138">
        <f t="shared" si="17"/>
        <v>1.8399999999999992</v>
      </c>
      <c r="Z97" s="132">
        <v>1</v>
      </c>
      <c r="AA97" s="132">
        <f t="shared" si="18"/>
        <v>4</v>
      </c>
      <c r="AB97" s="132">
        <v>5</v>
      </c>
      <c r="AC97" s="132">
        <v>12</v>
      </c>
      <c r="AD97" s="132">
        <f t="shared" si="19"/>
        <v>10</v>
      </c>
      <c r="AE97" s="132">
        <v>1</v>
      </c>
      <c r="AF97" s="132">
        <f t="shared" si="20"/>
        <v>1.1000000000000001</v>
      </c>
      <c r="AG97" s="132">
        <f t="shared" si="21"/>
        <v>13.200000000000001</v>
      </c>
      <c r="AS97" s="132">
        <f t="shared" si="25"/>
        <v>26.62</v>
      </c>
    </row>
    <row r="98" spans="1:45" hidden="1" x14ac:dyDescent="0.3">
      <c r="A98" s="137" t="s">
        <v>3</v>
      </c>
      <c r="B98" s="134" t="s">
        <v>131</v>
      </c>
      <c r="C98" s="134"/>
      <c r="D98" s="134" t="str">
        <f t="shared" si="22"/>
        <v/>
      </c>
      <c r="E98" s="134"/>
      <c r="F98" s="134">
        <v>7032001</v>
      </c>
      <c r="G98" s="134">
        <f t="shared" si="26"/>
        <v>1000</v>
      </c>
      <c r="H98" s="134" t="s">
        <v>136</v>
      </c>
      <c r="I98" s="134" t="s">
        <v>190</v>
      </c>
      <c r="J98" s="141">
        <f t="shared" si="27"/>
        <v>7032001</v>
      </c>
      <c r="K98" s="141">
        <f t="shared" si="27"/>
        <v>1000</v>
      </c>
      <c r="L98" s="138">
        <v>12.5</v>
      </c>
      <c r="M98" s="138">
        <v>0.3</v>
      </c>
      <c r="N98" s="138">
        <v>0</v>
      </c>
      <c r="O98" s="138">
        <v>0.3</v>
      </c>
      <c r="P98" s="138">
        <v>0.3</v>
      </c>
      <c r="Q98" s="138">
        <f t="shared" si="15"/>
        <v>13.400000000000002</v>
      </c>
      <c r="S98" s="138">
        <f t="shared" si="23"/>
        <v>0</v>
      </c>
      <c r="U98" s="138">
        <f t="shared" si="24"/>
        <v>-13.400000000000002</v>
      </c>
      <c r="V98" s="138">
        <f t="shared" si="16"/>
        <v>-8.0400000000000009</v>
      </c>
      <c r="W98" s="138">
        <f t="shared" si="17"/>
        <v>-5.3600000000000012</v>
      </c>
      <c r="Z98" s="132">
        <v>1</v>
      </c>
      <c r="AA98" s="132">
        <f t="shared" si="18"/>
        <v>4</v>
      </c>
      <c r="AB98" s="132">
        <v>5</v>
      </c>
      <c r="AC98" s="132">
        <v>12</v>
      </c>
      <c r="AD98" s="132">
        <f t="shared" si="19"/>
        <v>10</v>
      </c>
      <c r="AE98" s="132">
        <v>1</v>
      </c>
      <c r="AF98" s="132">
        <f t="shared" si="20"/>
        <v>1.1000000000000001</v>
      </c>
      <c r="AG98" s="132">
        <f t="shared" si="21"/>
        <v>13.200000000000001</v>
      </c>
      <c r="AS98" s="132">
        <f t="shared" si="25"/>
        <v>0</v>
      </c>
    </row>
    <row r="99" spans="1:45" hidden="1" x14ac:dyDescent="0.3">
      <c r="A99" s="137" t="s">
        <v>3</v>
      </c>
      <c r="B99" s="134" t="s">
        <v>131</v>
      </c>
      <c r="C99" s="134"/>
      <c r="D99" s="134" t="str">
        <f t="shared" si="22"/>
        <v/>
      </c>
      <c r="E99" s="134"/>
      <c r="F99" s="134">
        <v>7034001</v>
      </c>
      <c r="G99" s="134">
        <f t="shared" si="26"/>
        <v>1000</v>
      </c>
      <c r="H99" s="134" t="s">
        <v>137</v>
      </c>
      <c r="I99" s="134" t="s">
        <v>191</v>
      </c>
      <c r="J99" s="141">
        <f t="shared" si="27"/>
        <v>7034001</v>
      </c>
      <c r="K99" s="141">
        <f t="shared" si="27"/>
        <v>1000</v>
      </c>
      <c r="L99" s="138">
        <v>13.25</v>
      </c>
      <c r="M99" s="138">
        <v>0.3</v>
      </c>
      <c r="N99" s="138">
        <v>0</v>
      </c>
      <c r="O99" s="138">
        <v>0.3</v>
      </c>
      <c r="P99" s="138">
        <v>0.3</v>
      </c>
      <c r="Q99" s="138">
        <f t="shared" si="15"/>
        <v>14.150000000000002</v>
      </c>
      <c r="S99" s="138">
        <f t="shared" si="23"/>
        <v>0</v>
      </c>
      <c r="U99" s="138">
        <f t="shared" si="24"/>
        <v>-14.150000000000002</v>
      </c>
      <c r="V99" s="138">
        <f t="shared" si="16"/>
        <v>-8.49</v>
      </c>
      <c r="W99" s="138">
        <f t="shared" si="17"/>
        <v>-5.660000000000001</v>
      </c>
      <c r="Z99" s="132">
        <v>1</v>
      </c>
      <c r="AA99" s="132">
        <f t="shared" si="18"/>
        <v>4</v>
      </c>
      <c r="AB99" s="132">
        <v>5</v>
      </c>
      <c r="AC99" s="132">
        <v>12</v>
      </c>
      <c r="AD99" s="132">
        <f t="shared" si="19"/>
        <v>10</v>
      </c>
      <c r="AE99" s="132">
        <v>1</v>
      </c>
      <c r="AF99" s="132">
        <f t="shared" si="20"/>
        <v>1.1000000000000001</v>
      </c>
      <c r="AG99" s="132">
        <f t="shared" si="21"/>
        <v>13.200000000000001</v>
      </c>
      <c r="AS99" s="132">
        <f t="shared" si="25"/>
        <v>0</v>
      </c>
    </row>
    <row r="100" spans="1:45" hidden="1" x14ac:dyDescent="0.3">
      <c r="A100" s="137" t="s">
        <v>3</v>
      </c>
      <c r="B100" s="134" t="s">
        <v>131</v>
      </c>
      <c r="C100" s="134"/>
      <c r="D100" s="134" t="str">
        <f t="shared" si="22"/>
        <v/>
      </c>
      <c r="E100" s="134"/>
      <c r="F100" s="134">
        <v>7035001</v>
      </c>
      <c r="G100" s="134">
        <f t="shared" si="26"/>
        <v>1000</v>
      </c>
      <c r="H100" s="134" t="s">
        <v>138</v>
      </c>
      <c r="I100" s="134" t="s">
        <v>192</v>
      </c>
      <c r="J100" s="141">
        <f t="shared" si="27"/>
        <v>7035001</v>
      </c>
      <c r="K100" s="141">
        <f t="shared" si="27"/>
        <v>1000</v>
      </c>
      <c r="L100" s="138">
        <v>13.85</v>
      </c>
      <c r="M100" s="138">
        <v>0.3</v>
      </c>
      <c r="N100" s="138">
        <v>0</v>
      </c>
      <c r="O100" s="138">
        <v>0.3</v>
      </c>
      <c r="P100" s="138">
        <v>0.3</v>
      </c>
      <c r="Q100" s="138">
        <f t="shared" si="15"/>
        <v>14.750000000000002</v>
      </c>
      <c r="S100" s="138">
        <f t="shared" si="23"/>
        <v>0</v>
      </c>
      <c r="U100" s="138">
        <f t="shared" si="24"/>
        <v>-14.750000000000002</v>
      </c>
      <c r="V100" s="138">
        <f t="shared" si="16"/>
        <v>-8.8500000000000014</v>
      </c>
      <c r="W100" s="138">
        <f t="shared" si="17"/>
        <v>-5.9000000000000012</v>
      </c>
      <c r="Z100" s="132">
        <v>1</v>
      </c>
      <c r="AA100" s="132">
        <f t="shared" si="18"/>
        <v>4</v>
      </c>
      <c r="AB100" s="132">
        <v>5</v>
      </c>
      <c r="AC100" s="132">
        <v>12</v>
      </c>
      <c r="AD100" s="132">
        <f t="shared" si="19"/>
        <v>10</v>
      </c>
      <c r="AE100" s="132">
        <v>1</v>
      </c>
      <c r="AF100" s="132">
        <f t="shared" si="20"/>
        <v>1.1000000000000001</v>
      </c>
      <c r="AG100" s="132">
        <f t="shared" si="21"/>
        <v>13.200000000000001</v>
      </c>
      <c r="AS100" s="132">
        <f t="shared" si="25"/>
        <v>0</v>
      </c>
    </row>
    <row r="101" spans="1:45" x14ac:dyDescent="0.3">
      <c r="A101" s="137" t="s">
        <v>3</v>
      </c>
      <c r="B101" s="134" t="s">
        <v>131</v>
      </c>
      <c r="C101" s="134"/>
      <c r="D101" s="134" t="str">
        <f t="shared" si="22"/>
        <v/>
      </c>
      <c r="E101" s="134"/>
      <c r="F101" s="134">
        <v>7040001</v>
      </c>
      <c r="G101" s="134">
        <f t="shared" si="26"/>
        <v>1000</v>
      </c>
      <c r="H101" s="134" t="s">
        <v>139</v>
      </c>
      <c r="I101" s="134" t="s">
        <v>193</v>
      </c>
      <c r="J101" s="141">
        <f t="shared" si="27"/>
        <v>7040001</v>
      </c>
      <c r="K101" s="141">
        <f t="shared" si="27"/>
        <v>1000</v>
      </c>
      <c r="L101" s="138">
        <v>9.5</v>
      </c>
      <c r="M101" s="138">
        <v>0.3</v>
      </c>
      <c r="N101" s="138">
        <v>0</v>
      </c>
      <c r="O101" s="138">
        <v>0.3</v>
      </c>
      <c r="P101" s="138">
        <v>0.3</v>
      </c>
      <c r="Q101" s="138">
        <f t="shared" si="15"/>
        <v>10.400000000000002</v>
      </c>
      <c r="R101" s="138">
        <v>12.05</v>
      </c>
      <c r="S101" s="138">
        <f t="shared" si="23"/>
        <v>13.26</v>
      </c>
      <c r="T101" s="138">
        <v>19.7</v>
      </c>
      <c r="U101" s="138">
        <f t="shared" si="24"/>
        <v>1.6499999999999986</v>
      </c>
      <c r="V101" s="138">
        <f t="shared" si="16"/>
        <v>0.9899999999999991</v>
      </c>
      <c r="W101" s="138">
        <f t="shared" si="17"/>
        <v>0.65999999999999948</v>
      </c>
      <c r="Z101" s="132">
        <v>1</v>
      </c>
      <c r="AA101" s="132">
        <f t="shared" si="18"/>
        <v>4</v>
      </c>
      <c r="AB101" s="132">
        <v>5</v>
      </c>
      <c r="AC101" s="132">
        <v>12</v>
      </c>
      <c r="AD101" s="132">
        <f t="shared" si="19"/>
        <v>10</v>
      </c>
      <c r="AE101" s="132">
        <v>1</v>
      </c>
      <c r="AF101" s="132">
        <f t="shared" si="20"/>
        <v>1.1000000000000001</v>
      </c>
      <c r="AG101" s="132">
        <f t="shared" si="21"/>
        <v>13.200000000000001</v>
      </c>
      <c r="AS101" s="132">
        <f t="shared" si="25"/>
        <v>16.04</v>
      </c>
    </row>
    <row r="102" spans="1:45" x14ac:dyDescent="0.3">
      <c r="A102" s="137" t="s">
        <v>3</v>
      </c>
      <c r="B102" s="134" t="s">
        <v>131</v>
      </c>
      <c r="C102" s="134"/>
      <c r="D102" s="134" t="str">
        <f t="shared" si="22"/>
        <v/>
      </c>
      <c r="E102" s="134"/>
      <c r="F102" s="134">
        <v>7041236</v>
      </c>
      <c r="G102" s="134">
        <f t="shared" si="26"/>
        <v>236</v>
      </c>
      <c r="H102" s="134" t="s">
        <v>140</v>
      </c>
      <c r="I102" s="134" t="s">
        <v>194</v>
      </c>
      <c r="J102" s="141">
        <f t="shared" si="27"/>
        <v>7041236</v>
      </c>
      <c r="K102" s="141">
        <f t="shared" si="27"/>
        <v>236</v>
      </c>
      <c r="L102" s="138">
        <v>9.5</v>
      </c>
      <c r="M102" s="138">
        <v>0.3</v>
      </c>
      <c r="N102" s="138">
        <v>0</v>
      </c>
      <c r="O102" s="138">
        <v>0.3</v>
      </c>
      <c r="P102" s="138">
        <v>0.3</v>
      </c>
      <c r="Q102" s="138">
        <f t="shared" si="15"/>
        <v>10.400000000000002</v>
      </c>
      <c r="R102" s="138">
        <v>22.8</v>
      </c>
      <c r="S102" s="138">
        <f t="shared" si="23"/>
        <v>25.08</v>
      </c>
      <c r="T102" s="138">
        <v>37.799999999999997</v>
      </c>
      <c r="U102" s="138">
        <f t="shared" si="24"/>
        <v>12.399999999999999</v>
      </c>
      <c r="V102" s="138">
        <f t="shared" si="16"/>
        <v>7.4399999999999986</v>
      </c>
      <c r="W102" s="138">
        <f t="shared" si="17"/>
        <v>4.96</v>
      </c>
      <c r="Z102" s="132">
        <v>1</v>
      </c>
      <c r="AA102" s="132">
        <f t="shared" si="18"/>
        <v>8</v>
      </c>
      <c r="AB102" s="132">
        <v>5</v>
      </c>
      <c r="AC102" s="132">
        <v>24</v>
      </c>
      <c r="AD102" s="132">
        <f t="shared" si="19"/>
        <v>15</v>
      </c>
      <c r="AE102" s="132">
        <v>0.23599999999999999</v>
      </c>
      <c r="AF102" s="132">
        <f t="shared" si="20"/>
        <v>0.2596</v>
      </c>
      <c r="AG102" s="132">
        <f t="shared" si="21"/>
        <v>6.2303999999999995</v>
      </c>
      <c r="AS102" s="132">
        <f t="shared" si="25"/>
        <v>30.35</v>
      </c>
    </row>
    <row r="103" spans="1:45" x14ac:dyDescent="0.3">
      <c r="A103" s="137" t="s">
        <v>3</v>
      </c>
      <c r="B103" s="134" t="s">
        <v>131</v>
      </c>
      <c r="C103" s="134"/>
      <c r="D103" s="134" t="str">
        <f t="shared" si="22"/>
        <v/>
      </c>
      <c r="E103" s="134">
        <v>0</v>
      </c>
      <c r="F103" s="134">
        <v>7060100</v>
      </c>
      <c r="G103" s="134">
        <f t="shared" si="26"/>
        <v>100</v>
      </c>
      <c r="H103" s="134" t="s">
        <v>195</v>
      </c>
      <c r="I103" s="134" t="s">
        <v>195</v>
      </c>
      <c r="J103" s="141">
        <f t="shared" si="27"/>
        <v>7060100</v>
      </c>
      <c r="K103" s="141">
        <f t="shared" si="27"/>
        <v>100</v>
      </c>
      <c r="L103" s="138">
        <v>8.5</v>
      </c>
      <c r="M103" s="138">
        <v>0.3</v>
      </c>
      <c r="N103" s="138">
        <v>0</v>
      </c>
      <c r="O103" s="138">
        <v>0.3</v>
      </c>
      <c r="P103" s="138">
        <v>0.3</v>
      </c>
      <c r="Q103" s="138">
        <f t="shared" si="15"/>
        <v>9.4000000000000021</v>
      </c>
      <c r="R103" s="138">
        <v>19.5</v>
      </c>
      <c r="S103" s="138">
        <f t="shared" si="23"/>
        <v>21.45</v>
      </c>
      <c r="T103" s="138">
        <v>32</v>
      </c>
      <c r="U103" s="138">
        <f t="shared" si="24"/>
        <v>10.099999999999998</v>
      </c>
      <c r="V103" s="138">
        <f t="shared" si="16"/>
        <v>6.0599999999999987</v>
      </c>
      <c r="W103" s="138">
        <f t="shared" si="17"/>
        <v>4.0399999999999991</v>
      </c>
      <c r="Z103" s="132">
        <v>1</v>
      </c>
      <c r="AA103" s="132">
        <f t="shared" si="18"/>
        <v>4</v>
      </c>
      <c r="AB103" s="132">
        <v>5</v>
      </c>
      <c r="AC103" s="132">
        <v>12</v>
      </c>
      <c r="AD103" s="132">
        <f t="shared" si="19"/>
        <v>10</v>
      </c>
      <c r="AE103" s="132">
        <v>0.1</v>
      </c>
      <c r="AF103" s="132">
        <f t="shared" si="20"/>
        <v>0.11000000000000001</v>
      </c>
      <c r="AG103" s="132">
        <f t="shared" si="21"/>
        <v>1.3200000000000003</v>
      </c>
      <c r="AJ103" s="132">
        <v>6</v>
      </c>
      <c r="AS103" s="132">
        <f t="shared" si="25"/>
        <v>25.95</v>
      </c>
    </row>
    <row r="104" spans="1:45" hidden="1" x14ac:dyDescent="0.3">
      <c r="A104" s="137" t="s">
        <v>3</v>
      </c>
      <c r="B104" s="134" t="s">
        <v>131</v>
      </c>
      <c r="C104" s="134"/>
      <c r="D104" s="134" t="str">
        <f t="shared" si="22"/>
        <v/>
      </c>
      <c r="E104" s="134"/>
      <c r="F104" s="132">
        <v>1136</v>
      </c>
      <c r="G104" s="134">
        <f t="shared" si="26"/>
        <v>1000</v>
      </c>
      <c r="H104" s="134" t="s">
        <v>141</v>
      </c>
      <c r="I104" s="134"/>
      <c r="J104" s="141">
        <f t="shared" si="27"/>
        <v>1136</v>
      </c>
      <c r="K104" s="141">
        <f t="shared" si="27"/>
        <v>1000</v>
      </c>
      <c r="L104" s="138">
        <v>115</v>
      </c>
      <c r="M104" s="138">
        <v>0.3</v>
      </c>
      <c r="N104" s="138">
        <v>0</v>
      </c>
      <c r="O104" s="138">
        <v>0.3</v>
      </c>
      <c r="P104" s="138">
        <v>0.3</v>
      </c>
      <c r="Q104" s="138">
        <f t="shared" si="15"/>
        <v>115.89999999999999</v>
      </c>
      <c r="S104" s="138">
        <f t="shared" si="23"/>
        <v>0</v>
      </c>
      <c r="U104" s="138">
        <f t="shared" si="24"/>
        <v>-115.89999999999999</v>
      </c>
      <c r="V104" s="138">
        <f t="shared" si="16"/>
        <v>-69.539999999999992</v>
      </c>
      <c r="W104" s="138">
        <f t="shared" si="17"/>
        <v>-46.36</v>
      </c>
      <c r="Z104" s="132">
        <v>1</v>
      </c>
      <c r="AA104" s="132">
        <f t="shared" si="18"/>
        <v>0</v>
      </c>
      <c r="AB104" s="132">
        <v>5</v>
      </c>
      <c r="AC104" s="132">
        <v>1</v>
      </c>
      <c r="AD104" s="132">
        <f t="shared" si="19"/>
        <v>0</v>
      </c>
      <c r="AE104" s="132">
        <v>1</v>
      </c>
      <c r="AF104" s="132">
        <f t="shared" si="20"/>
        <v>1.1000000000000001</v>
      </c>
      <c r="AG104" s="132">
        <f t="shared" si="21"/>
        <v>1.1000000000000001</v>
      </c>
      <c r="AS104" s="132">
        <f t="shared" si="25"/>
        <v>0</v>
      </c>
    </row>
    <row r="105" spans="1:45" x14ac:dyDescent="0.3">
      <c r="A105" s="134" t="s">
        <v>3</v>
      </c>
      <c r="B105" s="134" t="s">
        <v>313</v>
      </c>
      <c r="C105" s="134"/>
      <c r="D105" s="134" t="str">
        <f t="shared" si="22"/>
        <v/>
      </c>
      <c r="E105" s="134"/>
      <c r="F105" s="132">
        <v>2236</v>
      </c>
      <c r="G105" s="134">
        <f t="shared" si="26"/>
        <v>120</v>
      </c>
      <c r="H105" s="134" t="s">
        <v>121</v>
      </c>
      <c r="I105" s="134" t="s">
        <v>206</v>
      </c>
      <c r="J105" s="141">
        <f t="shared" ref="J105:K137" si="28">F105</f>
        <v>2236</v>
      </c>
      <c r="K105" s="141">
        <f t="shared" si="28"/>
        <v>120</v>
      </c>
      <c r="M105" s="138">
        <v>0.3</v>
      </c>
      <c r="N105" s="138">
        <v>0</v>
      </c>
      <c r="O105" s="138">
        <v>0.3</v>
      </c>
      <c r="P105" s="138">
        <v>0.3</v>
      </c>
      <c r="Q105" s="138">
        <f t="shared" si="15"/>
        <v>0.89999999999999991</v>
      </c>
      <c r="R105" s="138">
        <v>12.9</v>
      </c>
      <c r="S105" s="138">
        <f t="shared" si="23"/>
        <v>14.19</v>
      </c>
      <c r="T105" s="138">
        <v>20.6</v>
      </c>
      <c r="U105" s="138">
        <f t="shared" si="24"/>
        <v>12</v>
      </c>
      <c r="V105" s="138">
        <f t="shared" si="16"/>
        <v>7.1999999999999993</v>
      </c>
      <c r="W105" s="138">
        <f t="shared" si="17"/>
        <v>4.8000000000000007</v>
      </c>
      <c r="AA105" s="132">
        <f t="shared" si="18"/>
        <v>0</v>
      </c>
      <c r="AB105" s="132">
        <v>5</v>
      </c>
      <c r="AD105" s="132">
        <f t="shared" si="19"/>
        <v>0</v>
      </c>
      <c r="AE105" s="132">
        <v>0.12</v>
      </c>
      <c r="AF105" s="132">
        <f t="shared" si="20"/>
        <v>0.13200000000000001</v>
      </c>
      <c r="AG105" s="132">
        <f t="shared" si="21"/>
        <v>0</v>
      </c>
      <c r="AS105" s="132">
        <f t="shared" si="25"/>
        <v>17.170000000000002</v>
      </c>
    </row>
    <row r="106" spans="1:45" x14ac:dyDescent="0.3">
      <c r="A106" s="137" t="s">
        <v>3</v>
      </c>
      <c r="B106" s="134" t="s">
        <v>131</v>
      </c>
      <c r="C106" s="134"/>
      <c r="D106" s="134" t="str">
        <f t="shared" si="22"/>
        <v/>
      </c>
      <c r="F106" s="132">
        <v>2138</v>
      </c>
      <c r="G106" s="134">
        <f t="shared" si="26"/>
        <v>200</v>
      </c>
      <c r="H106" s="134" t="s">
        <v>143</v>
      </c>
      <c r="J106" s="141">
        <f t="shared" si="28"/>
        <v>2138</v>
      </c>
      <c r="K106" s="141">
        <f t="shared" si="28"/>
        <v>200</v>
      </c>
      <c r="L106" s="138">
        <v>3.5</v>
      </c>
      <c r="M106" s="138">
        <v>0.3</v>
      </c>
      <c r="N106" s="138">
        <v>0</v>
      </c>
      <c r="O106" s="138">
        <v>0.3</v>
      </c>
      <c r="P106" s="138">
        <v>0.3</v>
      </c>
      <c r="Q106" s="138">
        <f t="shared" si="15"/>
        <v>4.3999999999999995</v>
      </c>
      <c r="R106" s="138">
        <v>9.6</v>
      </c>
      <c r="S106" s="138">
        <f t="shared" si="23"/>
        <v>10.56</v>
      </c>
      <c r="T106" s="138">
        <v>20.6</v>
      </c>
      <c r="U106" s="138">
        <f t="shared" si="24"/>
        <v>5.2</v>
      </c>
      <c r="V106" s="138">
        <f t="shared" si="16"/>
        <v>3.12</v>
      </c>
      <c r="W106" s="138">
        <f t="shared" si="17"/>
        <v>2.08</v>
      </c>
      <c r="Z106" s="132">
        <v>1</v>
      </c>
      <c r="AA106" s="132">
        <f t="shared" si="18"/>
        <v>4</v>
      </c>
      <c r="AB106" s="132">
        <v>5</v>
      </c>
      <c r="AC106" s="132">
        <v>12</v>
      </c>
      <c r="AD106" s="132">
        <f t="shared" si="19"/>
        <v>10</v>
      </c>
      <c r="AE106" s="132">
        <v>0.2</v>
      </c>
      <c r="AF106" s="132">
        <f t="shared" si="20"/>
        <v>0.22000000000000003</v>
      </c>
      <c r="AG106" s="132">
        <f t="shared" si="21"/>
        <v>2.6400000000000006</v>
      </c>
      <c r="AS106" s="132">
        <f t="shared" si="25"/>
        <v>12.78</v>
      </c>
    </row>
    <row r="107" spans="1:45" x14ac:dyDescent="0.3">
      <c r="A107" s="137" t="s">
        <v>3</v>
      </c>
      <c r="B107" s="134" t="s">
        <v>313</v>
      </c>
      <c r="C107" s="134"/>
      <c r="D107" s="134" t="str">
        <f t="shared" si="22"/>
        <v/>
      </c>
      <c r="F107" s="134" t="s">
        <v>122</v>
      </c>
      <c r="G107" s="134">
        <f t="shared" si="26"/>
        <v>150</v>
      </c>
      <c r="H107" s="134" t="s">
        <v>123</v>
      </c>
      <c r="I107" s="134" t="s">
        <v>209</v>
      </c>
      <c r="J107" s="141" t="str">
        <f t="shared" si="28"/>
        <v>2039-150</v>
      </c>
      <c r="K107" s="141">
        <f t="shared" si="28"/>
        <v>150</v>
      </c>
      <c r="L107" s="138">
        <v>2.9</v>
      </c>
      <c r="M107" s="138">
        <v>0.3</v>
      </c>
      <c r="N107" s="138">
        <v>0</v>
      </c>
      <c r="O107" s="138">
        <v>0.3</v>
      </c>
      <c r="P107" s="138">
        <v>0.3</v>
      </c>
      <c r="Q107" s="138">
        <f t="shared" si="15"/>
        <v>3.7999999999999994</v>
      </c>
      <c r="R107" s="138">
        <v>6.05</v>
      </c>
      <c r="S107" s="138">
        <f t="shared" si="23"/>
        <v>6.66</v>
      </c>
      <c r="T107" s="138">
        <v>9.9499999999999993</v>
      </c>
      <c r="U107" s="138">
        <f t="shared" si="24"/>
        <v>2.2500000000000004</v>
      </c>
      <c r="V107" s="138">
        <f t="shared" si="16"/>
        <v>1.3500000000000003</v>
      </c>
      <c r="W107" s="138">
        <f t="shared" si="17"/>
        <v>0.90000000000000024</v>
      </c>
      <c r="Z107" s="132">
        <v>1</v>
      </c>
      <c r="AA107" s="132">
        <f t="shared" si="18"/>
        <v>8</v>
      </c>
      <c r="AB107" s="132">
        <v>5</v>
      </c>
      <c r="AC107" s="132">
        <v>24</v>
      </c>
      <c r="AD107" s="132">
        <f t="shared" si="19"/>
        <v>15</v>
      </c>
      <c r="AE107" s="132">
        <v>0.15</v>
      </c>
      <c r="AF107" s="132">
        <f t="shared" si="20"/>
        <v>0.16500000000000001</v>
      </c>
      <c r="AG107" s="132">
        <f t="shared" si="21"/>
        <v>3.96</v>
      </c>
      <c r="AS107" s="132">
        <f t="shared" si="25"/>
        <v>8.06</v>
      </c>
    </row>
    <row r="108" spans="1:45" hidden="1" x14ac:dyDescent="0.3">
      <c r="A108" s="137" t="s">
        <v>3</v>
      </c>
      <c r="B108" s="134" t="s">
        <v>131</v>
      </c>
      <c r="C108" s="134"/>
      <c r="D108" s="134" t="str">
        <f t="shared" si="22"/>
        <v/>
      </c>
      <c r="F108" s="134">
        <v>2188</v>
      </c>
      <c r="G108" s="134">
        <f t="shared" si="26"/>
        <v>300</v>
      </c>
      <c r="H108" s="134" t="s">
        <v>145</v>
      </c>
      <c r="J108" s="141">
        <f t="shared" si="28"/>
        <v>2188</v>
      </c>
      <c r="K108" s="141">
        <f t="shared" si="28"/>
        <v>300</v>
      </c>
      <c r="L108" s="138">
        <v>2.75</v>
      </c>
      <c r="M108" s="138">
        <v>0.3</v>
      </c>
      <c r="N108" s="138">
        <v>0</v>
      </c>
      <c r="O108" s="138">
        <v>0.3</v>
      </c>
      <c r="P108" s="138">
        <v>0.3</v>
      </c>
      <c r="Q108" s="138">
        <f t="shared" si="15"/>
        <v>3.6499999999999995</v>
      </c>
      <c r="S108" s="138">
        <f t="shared" si="23"/>
        <v>0</v>
      </c>
      <c r="U108" s="138">
        <f t="shared" si="24"/>
        <v>-3.6499999999999995</v>
      </c>
      <c r="V108" s="138">
        <f t="shared" si="16"/>
        <v>-2.1899999999999995</v>
      </c>
      <c r="W108" s="138">
        <f t="shared" si="17"/>
        <v>-1.46</v>
      </c>
      <c r="Z108" s="132">
        <v>1</v>
      </c>
      <c r="AA108" s="132">
        <f t="shared" si="18"/>
        <v>8</v>
      </c>
      <c r="AB108" s="132">
        <v>5</v>
      </c>
      <c r="AC108" s="132">
        <v>24</v>
      </c>
      <c r="AD108" s="132">
        <f t="shared" si="19"/>
        <v>15</v>
      </c>
      <c r="AE108" s="132">
        <v>0.3</v>
      </c>
      <c r="AF108" s="132">
        <f t="shared" si="20"/>
        <v>0.33</v>
      </c>
      <c r="AG108" s="132">
        <f t="shared" si="21"/>
        <v>7.92</v>
      </c>
      <c r="AS108" s="132">
        <f t="shared" si="25"/>
        <v>0</v>
      </c>
    </row>
    <row r="109" spans="1:45" x14ac:dyDescent="0.3">
      <c r="A109" s="137" t="s">
        <v>3</v>
      </c>
      <c r="B109" s="134" t="s">
        <v>131</v>
      </c>
      <c r="C109" s="134"/>
      <c r="D109" s="134" t="str">
        <f t="shared" si="22"/>
        <v/>
      </c>
      <c r="F109" s="134">
        <v>2001</v>
      </c>
      <c r="G109" s="134">
        <f t="shared" si="26"/>
        <v>1000</v>
      </c>
      <c r="H109" s="134" t="s">
        <v>146</v>
      </c>
      <c r="J109" s="141">
        <f t="shared" si="28"/>
        <v>2001</v>
      </c>
      <c r="K109" s="141">
        <f t="shared" si="28"/>
        <v>1000</v>
      </c>
      <c r="L109" s="138">
        <v>28</v>
      </c>
      <c r="M109" s="138">
        <v>0.3</v>
      </c>
      <c r="N109" s="138">
        <v>0</v>
      </c>
      <c r="O109" s="138">
        <v>0.3</v>
      </c>
      <c r="P109" s="138">
        <v>0.3</v>
      </c>
      <c r="Q109" s="138">
        <f t="shared" si="15"/>
        <v>28.900000000000002</v>
      </c>
      <c r="R109" s="138">
        <v>28.8</v>
      </c>
      <c r="S109" s="138">
        <f t="shared" si="23"/>
        <v>31.68</v>
      </c>
      <c r="U109" s="138">
        <f t="shared" si="24"/>
        <v>-0.10000000000000142</v>
      </c>
      <c r="V109" s="138">
        <f t="shared" si="16"/>
        <v>-6.0000000000000851E-2</v>
      </c>
      <c r="W109" s="138">
        <f t="shared" si="17"/>
        <v>-4.000000000000057E-2</v>
      </c>
      <c r="Z109" s="132">
        <v>1</v>
      </c>
      <c r="AA109" s="132">
        <f t="shared" si="18"/>
        <v>0</v>
      </c>
      <c r="AB109" s="132">
        <v>5</v>
      </c>
      <c r="AC109" s="132">
        <v>1</v>
      </c>
      <c r="AD109" s="132">
        <f t="shared" si="19"/>
        <v>0</v>
      </c>
      <c r="AE109" s="132">
        <v>1</v>
      </c>
      <c r="AF109" s="132">
        <f t="shared" si="20"/>
        <v>1.1000000000000001</v>
      </c>
      <c r="AG109" s="132">
        <f t="shared" si="21"/>
        <v>1.1000000000000001</v>
      </c>
      <c r="AS109" s="132">
        <f t="shared" si="25"/>
        <v>38.33</v>
      </c>
    </row>
    <row r="110" spans="1:45" x14ac:dyDescent="0.3">
      <c r="A110" s="137" t="s">
        <v>3</v>
      </c>
      <c r="B110" s="134" t="s">
        <v>131</v>
      </c>
      <c r="C110" s="134"/>
      <c r="D110" s="134" t="str">
        <f t="shared" si="22"/>
        <v/>
      </c>
      <c r="F110" s="134" t="s">
        <v>147</v>
      </c>
      <c r="G110" s="134">
        <f t="shared" si="26"/>
        <v>100</v>
      </c>
      <c r="H110" s="134" t="s">
        <v>148</v>
      </c>
      <c r="I110" s="132" t="s">
        <v>334</v>
      </c>
      <c r="J110" s="141" t="str">
        <f t="shared" si="28"/>
        <v>20648-08</v>
      </c>
      <c r="K110" s="141" t="s">
        <v>246</v>
      </c>
      <c r="L110" s="138">
        <v>0.95</v>
      </c>
      <c r="M110" s="138">
        <v>0.3</v>
      </c>
      <c r="N110" s="138">
        <v>0</v>
      </c>
      <c r="O110" s="138">
        <v>0.3</v>
      </c>
      <c r="P110" s="138">
        <v>0.3</v>
      </c>
      <c r="Q110" s="138">
        <f t="shared" si="15"/>
        <v>1.85</v>
      </c>
      <c r="R110" s="138">
        <v>0.9</v>
      </c>
      <c r="S110" s="138">
        <f t="shared" si="23"/>
        <v>0.99</v>
      </c>
      <c r="U110" s="138">
        <f t="shared" si="24"/>
        <v>-0.95000000000000007</v>
      </c>
      <c r="V110" s="138">
        <f t="shared" si="16"/>
        <v>-0.57000000000000006</v>
      </c>
      <c r="W110" s="138">
        <f t="shared" si="17"/>
        <v>-0.38000000000000006</v>
      </c>
      <c r="Z110" s="132">
        <v>1</v>
      </c>
      <c r="AA110" s="132">
        <f t="shared" si="18"/>
        <v>0</v>
      </c>
      <c r="AB110" s="132">
        <v>5</v>
      </c>
      <c r="AC110" s="132">
        <v>1</v>
      </c>
      <c r="AD110" s="132">
        <f t="shared" si="19"/>
        <v>0</v>
      </c>
      <c r="AE110" s="132">
        <v>0.1</v>
      </c>
      <c r="AF110" s="132">
        <f t="shared" si="20"/>
        <v>0.11000000000000001</v>
      </c>
      <c r="AG110" s="132">
        <f t="shared" si="21"/>
        <v>0.11000000000000001</v>
      </c>
      <c r="AS110" s="132">
        <f t="shared" si="25"/>
        <v>1.2</v>
      </c>
    </row>
    <row r="111" spans="1:45" x14ac:dyDescent="0.3">
      <c r="A111" s="137" t="s">
        <v>3</v>
      </c>
      <c r="B111" s="134" t="s">
        <v>131</v>
      </c>
      <c r="C111" s="134"/>
      <c r="D111" s="134" t="str">
        <f t="shared" si="22"/>
        <v/>
      </c>
      <c r="F111" s="134" t="s">
        <v>149</v>
      </c>
      <c r="G111" s="134">
        <f t="shared" si="26"/>
        <v>100</v>
      </c>
      <c r="H111" s="134" t="s">
        <v>151</v>
      </c>
      <c r="I111" s="132" t="s">
        <v>335</v>
      </c>
      <c r="J111" s="141" t="str">
        <f t="shared" si="28"/>
        <v>20648-09</v>
      </c>
      <c r="K111" s="141" t="s">
        <v>246</v>
      </c>
      <c r="L111" s="138">
        <v>0.95</v>
      </c>
      <c r="M111" s="138">
        <v>0.3</v>
      </c>
      <c r="N111" s="138">
        <v>0</v>
      </c>
      <c r="O111" s="138">
        <v>0.3</v>
      </c>
      <c r="P111" s="138">
        <v>0.3</v>
      </c>
      <c r="Q111" s="138">
        <f t="shared" si="15"/>
        <v>1.85</v>
      </c>
      <c r="R111" s="138">
        <v>0.9</v>
      </c>
      <c r="S111" s="138">
        <f t="shared" si="23"/>
        <v>0.99</v>
      </c>
      <c r="U111" s="138">
        <f t="shared" si="24"/>
        <v>-0.95000000000000007</v>
      </c>
      <c r="V111" s="138">
        <f t="shared" si="16"/>
        <v>-0.57000000000000006</v>
      </c>
      <c r="W111" s="138">
        <f t="shared" si="17"/>
        <v>-0.38000000000000006</v>
      </c>
      <c r="Z111" s="132">
        <v>1</v>
      </c>
      <c r="AA111" s="132">
        <f t="shared" si="18"/>
        <v>0</v>
      </c>
      <c r="AB111" s="132">
        <v>5</v>
      </c>
      <c r="AC111" s="132">
        <v>1</v>
      </c>
      <c r="AD111" s="132">
        <f t="shared" si="19"/>
        <v>0</v>
      </c>
      <c r="AE111" s="132">
        <v>0.1</v>
      </c>
      <c r="AF111" s="132">
        <f t="shared" si="20"/>
        <v>0.11000000000000001</v>
      </c>
      <c r="AG111" s="132">
        <f t="shared" si="21"/>
        <v>0.11000000000000001</v>
      </c>
      <c r="AS111" s="132">
        <f t="shared" si="25"/>
        <v>1.2</v>
      </c>
    </row>
    <row r="112" spans="1:45" x14ac:dyDescent="0.3">
      <c r="A112" s="137" t="s">
        <v>3</v>
      </c>
      <c r="B112" s="134" t="s">
        <v>131</v>
      </c>
      <c r="C112" s="134"/>
      <c r="D112" s="134" t="str">
        <f t="shared" si="22"/>
        <v/>
      </c>
      <c r="F112" s="134" t="s">
        <v>150</v>
      </c>
      <c r="G112" s="134">
        <f t="shared" si="26"/>
        <v>100</v>
      </c>
      <c r="H112" s="134" t="s">
        <v>152</v>
      </c>
      <c r="I112" s="132" t="s">
        <v>336</v>
      </c>
      <c r="J112" s="141" t="str">
        <f t="shared" si="28"/>
        <v>20648-10</v>
      </c>
      <c r="K112" s="141" t="s">
        <v>246</v>
      </c>
      <c r="L112" s="138">
        <v>0.95</v>
      </c>
      <c r="M112" s="138">
        <v>0.3</v>
      </c>
      <c r="N112" s="138">
        <v>0</v>
      </c>
      <c r="O112" s="138">
        <v>0.3</v>
      </c>
      <c r="P112" s="138">
        <v>0.3</v>
      </c>
      <c r="Q112" s="138">
        <f t="shared" si="15"/>
        <v>1.85</v>
      </c>
      <c r="R112" s="138">
        <v>0.9</v>
      </c>
      <c r="S112" s="138">
        <f t="shared" si="23"/>
        <v>0.99</v>
      </c>
      <c r="U112" s="138">
        <f t="shared" si="24"/>
        <v>-0.95000000000000007</v>
      </c>
      <c r="V112" s="138">
        <f t="shared" si="16"/>
        <v>-0.57000000000000006</v>
      </c>
      <c r="W112" s="138">
        <f t="shared" si="17"/>
        <v>-0.38000000000000006</v>
      </c>
      <c r="Z112" s="132">
        <v>1</v>
      </c>
      <c r="AA112" s="132">
        <f t="shared" si="18"/>
        <v>0</v>
      </c>
      <c r="AB112" s="132">
        <v>5</v>
      </c>
      <c r="AC112" s="132">
        <v>1</v>
      </c>
      <c r="AD112" s="132">
        <f t="shared" si="19"/>
        <v>0</v>
      </c>
      <c r="AE112" s="132">
        <v>0.1</v>
      </c>
      <c r="AF112" s="132">
        <f t="shared" si="20"/>
        <v>0.11000000000000001</v>
      </c>
      <c r="AG112" s="132">
        <f t="shared" si="21"/>
        <v>0.11000000000000001</v>
      </c>
      <c r="AS112" s="132">
        <f t="shared" si="25"/>
        <v>1.2</v>
      </c>
    </row>
    <row r="113" spans="1:45" hidden="1" x14ac:dyDescent="0.3">
      <c r="A113" s="137" t="s">
        <v>3</v>
      </c>
      <c r="B113" s="134" t="s">
        <v>131</v>
      </c>
      <c r="C113" s="134"/>
      <c r="D113" s="134" t="str">
        <f t="shared" si="22"/>
        <v/>
      </c>
      <c r="F113" s="132">
        <v>2555</v>
      </c>
      <c r="G113" s="134">
        <f t="shared" si="26"/>
        <v>75</v>
      </c>
      <c r="H113" s="134" t="s">
        <v>84</v>
      </c>
      <c r="J113" s="141">
        <f t="shared" si="28"/>
        <v>2555</v>
      </c>
      <c r="K113" s="141">
        <f t="shared" si="28"/>
        <v>75</v>
      </c>
      <c r="L113" s="138">
        <v>2.5</v>
      </c>
      <c r="M113" s="138">
        <v>0.3</v>
      </c>
      <c r="N113" s="138">
        <v>0</v>
      </c>
      <c r="O113" s="138">
        <v>0.3</v>
      </c>
      <c r="P113" s="138">
        <v>0.3</v>
      </c>
      <c r="Q113" s="138">
        <f t="shared" si="15"/>
        <v>3.3999999999999995</v>
      </c>
      <c r="S113" s="138">
        <f t="shared" si="23"/>
        <v>0</v>
      </c>
      <c r="U113" s="138">
        <f t="shared" si="24"/>
        <v>-3.3999999999999995</v>
      </c>
      <c r="V113" s="138">
        <f t="shared" si="16"/>
        <v>-2.0399999999999996</v>
      </c>
      <c r="W113" s="138">
        <f t="shared" si="17"/>
        <v>-1.3599999999999999</v>
      </c>
      <c r="Z113" s="132">
        <v>1</v>
      </c>
      <c r="AA113" s="132">
        <f t="shared" si="18"/>
        <v>0</v>
      </c>
      <c r="AB113" s="132">
        <v>5</v>
      </c>
      <c r="AC113" s="132">
        <v>1</v>
      </c>
      <c r="AD113" s="132">
        <f t="shared" si="19"/>
        <v>0</v>
      </c>
      <c r="AE113" s="132">
        <v>7.4999999999999997E-2</v>
      </c>
      <c r="AF113" s="132">
        <f t="shared" si="20"/>
        <v>8.2500000000000004E-2</v>
      </c>
      <c r="AG113" s="132">
        <f t="shared" si="21"/>
        <v>8.2500000000000004E-2</v>
      </c>
      <c r="AS113" s="132">
        <f t="shared" si="25"/>
        <v>0</v>
      </c>
    </row>
    <row r="114" spans="1:45" hidden="1" x14ac:dyDescent="0.3">
      <c r="A114" s="137" t="s">
        <v>3</v>
      </c>
      <c r="B114" s="134" t="s">
        <v>131</v>
      </c>
      <c r="C114" s="134"/>
      <c r="D114" s="134" t="str">
        <f t="shared" si="22"/>
        <v/>
      </c>
      <c r="F114" s="132" t="s">
        <v>85</v>
      </c>
      <c r="G114" s="134">
        <f t="shared" si="26"/>
        <v>50</v>
      </c>
      <c r="H114" s="134" t="s">
        <v>86</v>
      </c>
      <c r="J114" s="141" t="str">
        <f t="shared" si="28"/>
        <v>2555-99</v>
      </c>
      <c r="K114" s="141">
        <f t="shared" si="28"/>
        <v>50</v>
      </c>
      <c r="L114" s="138">
        <v>0.35</v>
      </c>
      <c r="M114" s="138">
        <v>0.3</v>
      </c>
      <c r="N114" s="138">
        <v>0</v>
      </c>
      <c r="O114" s="138">
        <v>0.3</v>
      </c>
      <c r="P114" s="138">
        <v>0.3</v>
      </c>
      <c r="Q114" s="138">
        <f t="shared" si="15"/>
        <v>1.25</v>
      </c>
      <c r="S114" s="138">
        <f t="shared" si="23"/>
        <v>0</v>
      </c>
      <c r="U114" s="138">
        <f t="shared" si="24"/>
        <v>-1.25</v>
      </c>
      <c r="V114" s="138">
        <f t="shared" si="16"/>
        <v>-0.75</v>
      </c>
      <c r="W114" s="138">
        <f t="shared" si="17"/>
        <v>-0.5</v>
      </c>
      <c r="Z114" s="132">
        <v>1</v>
      </c>
      <c r="AA114" s="132">
        <f t="shared" si="18"/>
        <v>0</v>
      </c>
      <c r="AB114" s="132">
        <v>5</v>
      </c>
      <c r="AC114" s="132">
        <v>1</v>
      </c>
      <c r="AD114" s="132">
        <f t="shared" si="19"/>
        <v>0</v>
      </c>
      <c r="AE114" s="132">
        <v>0.05</v>
      </c>
      <c r="AF114" s="132">
        <f t="shared" si="20"/>
        <v>5.5000000000000007E-2</v>
      </c>
      <c r="AG114" s="132">
        <f t="shared" si="21"/>
        <v>5.5000000000000007E-2</v>
      </c>
      <c r="AS114" s="132">
        <f t="shared" si="25"/>
        <v>0</v>
      </c>
    </row>
    <row r="115" spans="1:45" hidden="1" x14ac:dyDescent="0.3">
      <c r="A115" s="137" t="s">
        <v>3</v>
      </c>
      <c r="B115" s="134" t="s">
        <v>131</v>
      </c>
      <c r="C115" s="134"/>
      <c r="D115" s="134" t="str">
        <f t="shared" si="22"/>
        <v/>
      </c>
      <c r="F115" s="132">
        <v>2155</v>
      </c>
      <c r="G115" s="134">
        <f t="shared" si="26"/>
        <v>100</v>
      </c>
      <c r="H115" s="134" t="s">
        <v>156</v>
      </c>
      <c r="J115" s="141">
        <f t="shared" si="28"/>
        <v>2155</v>
      </c>
      <c r="K115" s="141">
        <f t="shared" si="28"/>
        <v>100</v>
      </c>
      <c r="L115" s="138">
        <v>3.25</v>
      </c>
      <c r="M115" s="138">
        <v>0.3</v>
      </c>
      <c r="N115" s="138">
        <v>0</v>
      </c>
      <c r="O115" s="138">
        <v>0.3</v>
      </c>
      <c r="P115" s="138">
        <v>0.3</v>
      </c>
      <c r="Q115" s="138">
        <f t="shared" si="15"/>
        <v>4.1499999999999995</v>
      </c>
      <c r="S115" s="138">
        <f t="shared" si="23"/>
        <v>0</v>
      </c>
      <c r="U115" s="138">
        <f t="shared" si="24"/>
        <v>-4.1499999999999995</v>
      </c>
      <c r="V115" s="138">
        <f t="shared" si="16"/>
        <v>-2.4899999999999998</v>
      </c>
      <c r="W115" s="138">
        <f t="shared" si="17"/>
        <v>-1.66</v>
      </c>
      <c r="Z115" s="132">
        <v>1</v>
      </c>
      <c r="AA115" s="132">
        <f t="shared" si="18"/>
        <v>16</v>
      </c>
      <c r="AB115" s="132">
        <v>5</v>
      </c>
      <c r="AC115" s="132">
        <v>50</v>
      </c>
      <c r="AD115" s="132">
        <f t="shared" si="19"/>
        <v>0</v>
      </c>
      <c r="AE115" s="132">
        <v>0.1</v>
      </c>
      <c r="AF115" s="132">
        <f t="shared" si="20"/>
        <v>0.11000000000000001</v>
      </c>
      <c r="AG115" s="132">
        <f t="shared" si="21"/>
        <v>5.5000000000000009</v>
      </c>
      <c r="AS115" s="132">
        <f t="shared" si="25"/>
        <v>0</v>
      </c>
    </row>
    <row r="116" spans="1:45" x14ac:dyDescent="0.3">
      <c r="A116" s="137" t="s">
        <v>3</v>
      </c>
      <c r="B116" s="134" t="s">
        <v>131</v>
      </c>
      <c r="C116" s="134"/>
      <c r="D116" s="134" t="str">
        <f t="shared" si="22"/>
        <v/>
      </c>
      <c r="E116" s="134">
        <v>1</v>
      </c>
      <c r="F116" s="134">
        <v>2027</v>
      </c>
      <c r="G116" s="134">
        <f t="shared" si="26"/>
        <v>100</v>
      </c>
      <c r="H116" s="134" t="s">
        <v>46</v>
      </c>
      <c r="I116" s="134"/>
      <c r="J116" s="141">
        <f t="shared" si="28"/>
        <v>2027</v>
      </c>
      <c r="K116" s="141">
        <f t="shared" si="28"/>
        <v>100</v>
      </c>
      <c r="L116" s="138">
        <v>3.75</v>
      </c>
      <c r="M116" s="138">
        <v>0.3</v>
      </c>
      <c r="N116" s="138">
        <v>0</v>
      </c>
      <c r="O116" s="138">
        <v>0.3</v>
      </c>
      <c r="P116" s="138">
        <v>0.3</v>
      </c>
      <c r="Q116" s="138">
        <f t="shared" si="15"/>
        <v>4.6499999999999995</v>
      </c>
      <c r="R116" s="138">
        <v>7.8</v>
      </c>
      <c r="S116" s="138">
        <f t="shared" si="23"/>
        <v>8.58</v>
      </c>
      <c r="T116" s="138">
        <v>12.65</v>
      </c>
      <c r="U116" s="138">
        <f t="shared" si="24"/>
        <v>3.1500000000000004</v>
      </c>
      <c r="V116" s="138">
        <f t="shared" si="16"/>
        <v>1.8900000000000001</v>
      </c>
      <c r="W116" s="138">
        <f t="shared" si="17"/>
        <v>1.2600000000000002</v>
      </c>
      <c r="Z116" s="132">
        <v>1</v>
      </c>
      <c r="AA116" s="132">
        <f t="shared" si="18"/>
        <v>8</v>
      </c>
      <c r="AB116" s="132">
        <v>5</v>
      </c>
      <c r="AC116" s="132">
        <v>24</v>
      </c>
      <c r="AD116" s="132">
        <f t="shared" si="19"/>
        <v>15</v>
      </c>
      <c r="AE116" s="132">
        <v>0.1</v>
      </c>
      <c r="AF116" s="132">
        <f t="shared" si="20"/>
        <v>0.11000000000000001</v>
      </c>
      <c r="AG116" s="132">
        <f t="shared" si="21"/>
        <v>2.6400000000000006</v>
      </c>
      <c r="AS116" s="132">
        <f t="shared" si="25"/>
        <v>10.38</v>
      </c>
    </row>
    <row r="117" spans="1:45" hidden="1" x14ac:dyDescent="0.3">
      <c r="A117" s="137" t="s">
        <v>3</v>
      </c>
      <c r="B117" s="134" t="s">
        <v>313</v>
      </c>
      <c r="C117" s="134"/>
      <c r="D117" s="134" t="str">
        <f t="shared" si="22"/>
        <v/>
      </c>
      <c r="F117" s="134" t="s">
        <v>95</v>
      </c>
      <c r="G117" s="134">
        <f t="shared" si="26"/>
        <v>500</v>
      </c>
      <c r="H117" s="134" t="s">
        <v>94</v>
      </c>
      <c r="I117" s="134" t="s">
        <v>302</v>
      </c>
      <c r="J117" s="141" t="str">
        <f t="shared" si="28"/>
        <v>2040-500</v>
      </c>
      <c r="K117" s="141">
        <f t="shared" si="28"/>
        <v>500</v>
      </c>
      <c r="L117" s="138">
        <v>3.65</v>
      </c>
      <c r="M117" s="138">
        <v>0.3</v>
      </c>
      <c r="N117" s="138">
        <v>0</v>
      </c>
      <c r="O117" s="138">
        <v>0.3</v>
      </c>
      <c r="P117" s="138">
        <v>0.3</v>
      </c>
      <c r="Q117" s="138">
        <f t="shared" si="15"/>
        <v>4.55</v>
      </c>
      <c r="S117" s="138">
        <f t="shared" si="23"/>
        <v>0</v>
      </c>
      <c r="U117" s="138">
        <f t="shared" si="24"/>
        <v>-4.55</v>
      </c>
      <c r="V117" s="138">
        <f t="shared" si="16"/>
        <v>-2.73</v>
      </c>
      <c r="W117" s="138">
        <f t="shared" si="17"/>
        <v>-1.82</v>
      </c>
      <c r="Z117" s="132">
        <v>1</v>
      </c>
      <c r="AA117" s="132">
        <f t="shared" si="18"/>
        <v>8</v>
      </c>
      <c r="AB117" s="132">
        <v>5</v>
      </c>
      <c r="AC117" s="132">
        <v>24</v>
      </c>
      <c r="AD117" s="132">
        <f t="shared" si="19"/>
        <v>15</v>
      </c>
      <c r="AE117" s="132">
        <v>0.5</v>
      </c>
      <c r="AF117" s="132">
        <f t="shared" si="20"/>
        <v>0.55000000000000004</v>
      </c>
      <c r="AG117" s="132">
        <f t="shared" si="21"/>
        <v>13.200000000000001</v>
      </c>
      <c r="AS117" s="132">
        <f t="shared" si="25"/>
        <v>0</v>
      </c>
    </row>
    <row r="118" spans="1:45" hidden="1" x14ac:dyDescent="0.3">
      <c r="A118" s="137" t="s">
        <v>3</v>
      </c>
      <c r="B118" s="134" t="s">
        <v>131</v>
      </c>
      <c r="C118" s="134"/>
      <c r="D118" s="134" t="str">
        <f t="shared" si="22"/>
        <v/>
      </c>
      <c r="F118" s="132">
        <v>2044</v>
      </c>
      <c r="G118" s="134">
        <f t="shared" si="26"/>
        <v>400</v>
      </c>
      <c r="H118" s="134" t="s">
        <v>153</v>
      </c>
      <c r="J118" s="141">
        <f t="shared" si="28"/>
        <v>2044</v>
      </c>
      <c r="K118" s="141">
        <f t="shared" si="28"/>
        <v>400</v>
      </c>
      <c r="L118" s="138">
        <v>3.15</v>
      </c>
      <c r="M118" s="138">
        <v>0.3</v>
      </c>
      <c r="N118" s="138">
        <v>0</v>
      </c>
      <c r="O118" s="138">
        <v>0.3</v>
      </c>
      <c r="P118" s="138">
        <v>0.3</v>
      </c>
      <c r="Q118" s="138">
        <f t="shared" si="15"/>
        <v>4.05</v>
      </c>
      <c r="S118" s="138">
        <f t="shared" si="23"/>
        <v>0</v>
      </c>
      <c r="U118" s="138">
        <f t="shared" si="24"/>
        <v>-4.05</v>
      </c>
      <c r="V118" s="138">
        <f t="shared" si="16"/>
        <v>-2.4299999999999997</v>
      </c>
      <c r="W118" s="138">
        <f t="shared" si="17"/>
        <v>-1.62</v>
      </c>
      <c r="Z118" s="132">
        <v>1</v>
      </c>
      <c r="AA118" s="132">
        <f t="shared" si="18"/>
        <v>8</v>
      </c>
      <c r="AB118" s="132">
        <v>5</v>
      </c>
      <c r="AC118" s="132">
        <v>24</v>
      </c>
      <c r="AD118" s="132">
        <f t="shared" si="19"/>
        <v>15</v>
      </c>
      <c r="AE118" s="132">
        <v>0.4</v>
      </c>
      <c r="AF118" s="132">
        <f t="shared" si="20"/>
        <v>0.44000000000000006</v>
      </c>
      <c r="AG118" s="132">
        <f t="shared" si="21"/>
        <v>10.560000000000002</v>
      </c>
      <c r="AS118" s="132">
        <f t="shared" si="25"/>
        <v>0</v>
      </c>
    </row>
    <row r="119" spans="1:45" x14ac:dyDescent="0.3">
      <c r="A119" s="137" t="s">
        <v>3</v>
      </c>
      <c r="B119" s="134" t="s">
        <v>313</v>
      </c>
      <c r="C119" s="134"/>
      <c r="D119" s="134" t="str">
        <f t="shared" si="22"/>
        <v/>
      </c>
      <c r="F119" s="132">
        <v>2051</v>
      </c>
      <c r="G119" s="134">
        <f t="shared" si="26"/>
        <v>400</v>
      </c>
      <c r="H119" s="134" t="s">
        <v>97</v>
      </c>
      <c r="I119" s="134" t="s">
        <v>223</v>
      </c>
      <c r="J119" s="141">
        <f t="shared" si="28"/>
        <v>2051</v>
      </c>
      <c r="K119" s="141">
        <f t="shared" si="28"/>
        <v>400</v>
      </c>
      <c r="L119" s="138">
        <v>3</v>
      </c>
      <c r="M119" s="138">
        <v>0.3</v>
      </c>
      <c r="N119" s="138">
        <v>0</v>
      </c>
      <c r="O119" s="138">
        <v>0.3</v>
      </c>
      <c r="P119" s="138">
        <v>0.3</v>
      </c>
      <c r="Q119" s="138">
        <f t="shared" si="15"/>
        <v>3.8999999999999995</v>
      </c>
      <c r="R119" s="138">
        <v>5.7</v>
      </c>
      <c r="S119" s="138">
        <f t="shared" si="23"/>
        <v>6.27</v>
      </c>
      <c r="U119" s="138">
        <f t="shared" si="24"/>
        <v>1.8000000000000007</v>
      </c>
      <c r="V119" s="138">
        <f t="shared" si="16"/>
        <v>1.0800000000000003</v>
      </c>
      <c r="W119" s="138">
        <f t="shared" si="17"/>
        <v>0.72000000000000031</v>
      </c>
      <c r="Z119" s="132">
        <v>1</v>
      </c>
      <c r="AA119" s="132">
        <f t="shared" si="18"/>
        <v>8</v>
      </c>
      <c r="AB119" s="132">
        <v>5</v>
      </c>
      <c r="AC119" s="132">
        <v>24</v>
      </c>
      <c r="AD119" s="132">
        <f t="shared" si="19"/>
        <v>15</v>
      </c>
      <c r="AE119" s="132">
        <v>0.4</v>
      </c>
      <c r="AF119" s="132">
        <f t="shared" si="20"/>
        <v>0.44000000000000006</v>
      </c>
      <c r="AG119" s="132">
        <f t="shared" si="21"/>
        <v>10.560000000000002</v>
      </c>
      <c r="AS119" s="132">
        <f t="shared" si="25"/>
        <v>7.59</v>
      </c>
    </row>
    <row r="120" spans="1:45" x14ac:dyDescent="0.3">
      <c r="A120" s="137" t="s">
        <v>3</v>
      </c>
      <c r="B120" s="134" t="s">
        <v>131</v>
      </c>
      <c r="C120" s="134"/>
      <c r="D120" s="134" t="str">
        <f t="shared" si="22"/>
        <v/>
      </c>
      <c r="F120" s="132">
        <v>2058</v>
      </c>
      <c r="G120" s="134">
        <f t="shared" si="26"/>
        <v>8</v>
      </c>
      <c r="H120" s="134" t="s">
        <v>154</v>
      </c>
      <c r="J120" s="141">
        <f t="shared" si="28"/>
        <v>2058</v>
      </c>
      <c r="K120" s="141">
        <f t="shared" si="28"/>
        <v>8</v>
      </c>
      <c r="L120" s="138">
        <v>1.5</v>
      </c>
      <c r="M120" s="138">
        <v>0.3</v>
      </c>
      <c r="N120" s="138">
        <v>0</v>
      </c>
      <c r="O120" s="138">
        <v>0.3</v>
      </c>
      <c r="P120" s="138">
        <v>0.3</v>
      </c>
      <c r="Q120" s="138">
        <f t="shared" si="15"/>
        <v>2.4</v>
      </c>
      <c r="R120" s="138">
        <v>2.1</v>
      </c>
      <c r="S120" s="138">
        <f t="shared" si="23"/>
        <v>2.31</v>
      </c>
      <c r="U120" s="138">
        <f t="shared" si="24"/>
        <v>-0.29999999999999982</v>
      </c>
      <c r="V120" s="138">
        <f t="shared" si="16"/>
        <v>-0.17999999999999988</v>
      </c>
      <c r="W120" s="138">
        <f t="shared" si="17"/>
        <v>-0.11999999999999994</v>
      </c>
      <c r="Z120" s="132">
        <v>1</v>
      </c>
      <c r="AA120" s="132">
        <f t="shared" si="18"/>
        <v>33</v>
      </c>
      <c r="AB120" s="132">
        <v>5</v>
      </c>
      <c r="AC120" s="132">
        <v>100</v>
      </c>
      <c r="AD120" s="132">
        <f t="shared" si="19"/>
        <v>0</v>
      </c>
      <c r="AE120" s="132">
        <v>8.0000000000000002E-3</v>
      </c>
      <c r="AF120" s="132">
        <f t="shared" si="20"/>
        <v>8.8000000000000005E-3</v>
      </c>
      <c r="AG120" s="132">
        <f t="shared" si="21"/>
        <v>0.88</v>
      </c>
      <c r="AS120" s="132">
        <f t="shared" si="25"/>
        <v>2.8</v>
      </c>
    </row>
    <row r="121" spans="1:45" hidden="1" x14ac:dyDescent="0.3">
      <c r="A121" s="137" t="s">
        <v>3</v>
      </c>
      <c r="B121" s="134" t="s">
        <v>131</v>
      </c>
      <c r="C121" s="134"/>
      <c r="D121" s="134" t="str">
        <f t="shared" si="22"/>
        <v/>
      </c>
      <c r="F121" s="132">
        <v>2455001</v>
      </c>
      <c r="G121" s="134">
        <f t="shared" si="26"/>
        <v>10</v>
      </c>
      <c r="H121" s="134" t="s">
        <v>155</v>
      </c>
      <c r="J121" s="141">
        <f t="shared" si="28"/>
        <v>2455001</v>
      </c>
      <c r="K121" s="141">
        <f t="shared" si="28"/>
        <v>10</v>
      </c>
      <c r="L121" s="138">
        <v>1.35</v>
      </c>
      <c r="M121" s="138">
        <v>0.3</v>
      </c>
      <c r="N121" s="138">
        <v>0</v>
      </c>
      <c r="O121" s="138">
        <v>0.3</v>
      </c>
      <c r="P121" s="138">
        <v>0.3</v>
      </c>
      <c r="Q121" s="138">
        <f t="shared" si="15"/>
        <v>2.25</v>
      </c>
      <c r="S121" s="138">
        <f t="shared" si="23"/>
        <v>0</v>
      </c>
      <c r="U121" s="138">
        <f t="shared" si="24"/>
        <v>-2.25</v>
      </c>
      <c r="V121" s="138">
        <f t="shared" si="16"/>
        <v>-1.3499999999999999</v>
      </c>
      <c r="W121" s="138">
        <f t="shared" si="17"/>
        <v>-0.9</v>
      </c>
      <c r="Z121" s="132">
        <v>1</v>
      </c>
      <c r="AA121" s="132">
        <f t="shared" si="18"/>
        <v>0</v>
      </c>
      <c r="AB121" s="132">
        <v>5</v>
      </c>
      <c r="AC121" s="132">
        <v>1</v>
      </c>
      <c r="AD121" s="132">
        <f t="shared" si="19"/>
        <v>0</v>
      </c>
      <c r="AE121" s="132">
        <v>0.01</v>
      </c>
      <c r="AF121" s="132">
        <f t="shared" si="20"/>
        <v>1.1000000000000001E-2</v>
      </c>
      <c r="AG121" s="132">
        <f t="shared" si="21"/>
        <v>1.1000000000000001E-2</v>
      </c>
      <c r="AS121" s="132">
        <f t="shared" si="25"/>
        <v>0</v>
      </c>
    </row>
    <row r="122" spans="1:45" x14ac:dyDescent="0.3">
      <c r="A122" s="137" t="s">
        <v>3</v>
      </c>
      <c r="B122" s="134" t="s">
        <v>313</v>
      </c>
      <c r="C122" s="134"/>
      <c r="D122" s="134" t="str">
        <f t="shared" si="22"/>
        <v/>
      </c>
      <c r="F122" s="132">
        <v>2077</v>
      </c>
      <c r="G122" s="134">
        <f t="shared" si="26"/>
        <v>310</v>
      </c>
      <c r="H122" s="134" t="s">
        <v>129</v>
      </c>
      <c r="I122" s="134" t="s">
        <v>304</v>
      </c>
      <c r="J122" s="141">
        <f t="shared" si="28"/>
        <v>2077</v>
      </c>
      <c r="K122" s="141">
        <f t="shared" si="28"/>
        <v>310</v>
      </c>
      <c r="L122" s="138">
        <v>4.95</v>
      </c>
      <c r="M122" s="138">
        <v>0.3</v>
      </c>
      <c r="N122" s="138">
        <v>0</v>
      </c>
      <c r="O122" s="138">
        <v>0.3</v>
      </c>
      <c r="P122" s="138">
        <v>0.3</v>
      </c>
      <c r="Q122" s="138">
        <f t="shared" si="15"/>
        <v>5.85</v>
      </c>
      <c r="R122" s="138">
        <v>11.3</v>
      </c>
      <c r="S122" s="138">
        <f t="shared" si="23"/>
        <v>12.43</v>
      </c>
      <c r="T122" s="138">
        <v>21.95</v>
      </c>
      <c r="U122" s="138">
        <f t="shared" si="24"/>
        <v>5.4500000000000011</v>
      </c>
      <c r="V122" s="138">
        <f t="shared" si="16"/>
        <v>3.2700000000000005</v>
      </c>
      <c r="W122" s="138">
        <f t="shared" si="17"/>
        <v>2.1800000000000006</v>
      </c>
      <c r="Z122" s="132">
        <v>1</v>
      </c>
      <c r="AA122" s="132">
        <f t="shared" si="18"/>
        <v>4</v>
      </c>
      <c r="AB122" s="132">
        <v>5</v>
      </c>
      <c r="AC122" s="132">
        <v>12</v>
      </c>
      <c r="AD122" s="132">
        <f t="shared" si="19"/>
        <v>10</v>
      </c>
      <c r="AE122" s="132">
        <v>0.31</v>
      </c>
      <c r="AF122" s="132">
        <f t="shared" si="20"/>
        <v>0.34100000000000003</v>
      </c>
      <c r="AG122" s="132">
        <f t="shared" si="21"/>
        <v>4.0920000000000005</v>
      </c>
      <c r="AS122" s="132">
        <f t="shared" si="25"/>
        <v>15.04</v>
      </c>
    </row>
    <row r="123" spans="1:45" x14ac:dyDescent="0.3">
      <c r="A123" s="137" t="s">
        <v>3</v>
      </c>
      <c r="B123" s="134" t="s">
        <v>313</v>
      </c>
      <c r="C123" s="134"/>
      <c r="D123" s="134" t="str">
        <f t="shared" si="22"/>
        <v/>
      </c>
      <c r="F123" s="132">
        <v>2078</v>
      </c>
      <c r="G123" s="134">
        <f t="shared" si="26"/>
        <v>400</v>
      </c>
      <c r="H123" s="134" t="s">
        <v>129</v>
      </c>
      <c r="I123" s="134" t="s">
        <v>305</v>
      </c>
      <c r="J123" s="141">
        <f t="shared" si="28"/>
        <v>2078</v>
      </c>
      <c r="K123" s="141">
        <f t="shared" si="28"/>
        <v>400</v>
      </c>
      <c r="L123" s="138">
        <v>7.7</v>
      </c>
      <c r="M123" s="138">
        <v>0.3</v>
      </c>
      <c r="N123" s="138">
        <v>0</v>
      </c>
      <c r="O123" s="138">
        <v>0.3</v>
      </c>
      <c r="P123" s="138">
        <v>0.3</v>
      </c>
      <c r="Q123" s="138">
        <f t="shared" si="15"/>
        <v>8.6000000000000014</v>
      </c>
      <c r="R123" s="138">
        <v>13.05</v>
      </c>
      <c r="S123" s="138">
        <f t="shared" si="23"/>
        <v>14.36</v>
      </c>
      <c r="T123" s="138">
        <v>23.1</v>
      </c>
      <c r="U123" s="138">
        <f t="shared" si="24"/>
        <v>4.4499999999999993</v>
      </c>
      <c r="V123" s="138">
        <f t="shared" si="16"/>
        <v>2.6699999999999995</v>
      </c>
      <c r="W123" s="138">
        <f t="shared" si="17"/>
        <v>1.7799999999999998</v>
      </c>
      <c r="Z123" s="132">
        <v>1</v>
      </c>
      <c r="AA123" s="132">
        <f t="shared" si="18"/>
        <v>4</v>
      </c>
      <c r="AB123" s="132">
        <v>5</v>
      </c>
      <c r="AC123" s="132">
        <v>12</v>
      </c>
      <c r="AD123" s="132">
        <f t="shared" si="19"/>
        <v>10</v>
      </c>
      <c r="AE123" s="132">
        <v>0.4</v>
      </c>
      <c r="AF123" s="132">
        <f t="shared" si="20"/>
        <v>0.44000000000000006</v>
      </c>
      <c r="AG123" s="132">
        <f t="shared" si="21"/>
        <v>5.2800000000000011</v>
      </c>
      <c r="AS123" s="132">
        <f t="shared" si="25"/>
        <v>17.38</v>
      </c>
    </row>
    <row r="124" spans="1:45" x14ac:dyDescent="0.3">
      <c r="A124" s="137" t="s">
        <v>3</v>
      </c>
      <c r="B124" s="134" t="s">
        <v>313</v>
      </c>
      <c r="C124" s="134"/>
      <c r="D124" s="134" t="str">
        <f t="shared" si="22"/>
        <v/>
      </c>
      <c r="F124" s="132">
        <v>2177</v>
      </c>
      <c r="G124" s="134">
        <f t="shared" si="26"/>
        <v>310</v>
      </c>
      <c r="H124" s="134" t="s">
        <v>130</v>
      </c>
      <c r="I124" s="134" t="s">
        <v>306</v>
      </c>
      <c r="J124" s="141">
        <f t="shared" si="28"/>
        <v>2177</v>
      </c>
      <c r="K124" s="141">
        <f t="shared" si="28"/>
        <v>310</v>
      </c>
      <c r="L124" s="138">
        <v>12.5</v>
      </c>
      <c r="M124" s="138">
        <v>0.3</v>
      </c>
      <c r="N124" s="138">
        <v>0</v>
      </c>
      <c r="O124" s="138">
        <v>0.3</v>
      </c>
      <c r="P124" s="138">
        <v>0.3</v>
      </c>
      <c r="Q124" s="138">
        <f t="shared" si="15"/>
        <v>13.400000000000002</v>
      </c>
      <c r="R124" s="138">
        <v>19.649999999999999</v>
      </c>
      <c r="S124" s="138">
        <f t="shared" si="23"/>
        <v>21.62</v>
      </c>
      <c r="T124" s="138">
        <v>32.6</v>
      </c>
      <c r="U124" s="138">
        <f t="shared" si="24"/>
        <v>6.2499999999999964</v>
      </c>
      <c r="V124" s="138">
        <f t="shared" si="16"/>
        <v>3.7499999999999978</v>
      </c>
      <c r="W124" s="138">
        <f t="shared" si="17"/>
        <v>2.4999999999999987</v>
      </c>
      <c r="Z124" s="132">
        <v>1</v>
      </c>
      <c r="AA124" s="132">
        <f t="shared" si="18"/>
        <v>4</v>
      </c>
      <c r="AB124" s="132">
        <v>5</v>
      </c>
      <c r="AC124" s="132">
        <v>12</v>
      </c>
      <c r="AD124" s="132">
        <f t="shared" si="19"/>
        <v>10</v>
      </c>
      <c r="AE124" s="132">
        <v>0.31</v>
      </c>
      <c r="AF124" s="132">
        <f t="shared" si="20"/>
        <v>0.34100000000000003</v>
      </c>
      <c r="AG124" s="132">
        <f t="shared" si="21"/>
        <v>4.0920000000000005</v>
      </c>
      <c r="AS124" s="132">
        <f t="shared" si="25"/>
        <v>26.16</v>
      </c>
    </row>
    <row r="125" spans="1:45" x14ac:dyDescent="0.3">
      <c r="A125" s="137" t="s">
        <v>3</v>
      </c>
      <c r="B125" s="134" t="s">
        <v>313</v>
      </c>
      <c r="C125" s="134"/>
      <c r="D125" s="134" t="str">
        <f t="shared" si="22"/>
        <v/>
      </c>
      <c r="F125" s="132">
        <v>2178</v>
      </c>
      <c r="G125" s="134">
        <f t="shared" si="26"/>
        <v>400</v>
      </c>
      <c r="H125" s="134" t="s">
        <v>130</v>
      </c>
      <c r="I125" s="134" t="s">
        <v>307</v>
      </c>
      <c r="J125" s="141">
        <f t="shared" si="28"/>
        <v>2178</v>
      </c>
      <c r="K125" s="141">
        <f t="shared" si="28"/>
        <v>400</v>
      </c>
      <c r="L125" s="138">
        <v>15.2</v>
      </c>
      <c r="M125" s="138">
        <v>0.3</v>
      </c>
      <c r="N125" s="138">
        <v>0</v>
      </c>
      <c r="O125" s="138">
        <v>0.3</v>
      </c>
      <c r="P125" s="138">
        <v>0.3</v>
      </c>
      <c r="Q125" s="138">
        <f t="shared" si="15"/>
        <v>16.100000000000001</v>
      </c>
      <c r="R125" s="138">
        <v>20.55</v>
      </c>
      <c r="S125" s="138">
        <f t="shared" si="23"/>
        <v>22.61</v>
      </c>
      <c r="T125" s="138">
        <v>34</v>
      </c>
      <c r="U125" s="138">
        <f t="shared" si="24"/>
        <v>4.4499999999999993</v>
      </c>
      <c r="V125" s="138">
        <f t="shared" si="16"/>
        <v>2.6699999999999995</v>
      </c>
      <c r="W125" s="138">
        <f t="shared" si="17"/>
        <v>1.7799999999999998</v>
      </c>
      <c r="Z125" s="132">
        <v>1</v>
      </c>
      <c r="AA125" s="132">
        <f t="shared" si="18"/>
        <v>4</v>
      </c>
      <c r="AB125" s="132">
        <v>5</v>
      </c>
      <c r="AC125" s="132">
        <v>12</v>
      </c>
      <c r="AD125" s="132">
        <f t="shared" si="19"/>
        <v>10</v>
      </c>
      <c r="AE125" s="132">
        <v>0.4</v>
      </c>
      <c r="AF125" s="132">
        <f t="shared" si="20"/>
        <v>0.44000000000000006</v>
      </c>
      <c r="AG125" s="132">
        <f t="shared" si="21"/>
        <v>5.2800000000000011</v>
      </c>
      <c r="AS125" s="132">
        <f t="shared" si="25"/>
        <v>27.36</v>
      </c>
    </row>
    <row r="126" spans="1:45" x14ac:dyDescent="0.3">
      <c r="A126" s="137" t="s">
        <v>3</v>
      </c>
      <c r="B126" s="134" t="s">
        <v>313</v>
      </c>
      <c r="C126" s="134"/>
      <c r="D126" s="134" t="str">
        <f t="shared" si="22"/>
        <v/>
      </c>
      <c r="F126" s="132">
        <v>21290</v>
      </c>
      <c r="G126" s="134">
        <f t="shared" si="26"/>
        <v>290</v>
      </c>
      <c r="H126" s="134" t="s">
        <v>110</v>
      </c>
      <c r="I126" s="134" t="s">
        <v>314</v>
      </c>
      <c r="J126" s="141">
        <f t="shared" si="28"/>
        <v>21290</v>
      </c>
      <c r="K126" s="141">
        <f t="shared" si="28"/>
        <v>290</v>
      </c>
      <c r="L126" s="138">
        <v>9.9</v>
      </c>
      <c r="M126" s="138">
        <v>0.3</v>
      </c>
      <c r="N126" s="138">
        <v>0</v>
      </c>
      <c r="O126" s="138">
        <v>0.3</v>
      </c>
      <c r="P126" s="138">
        <v>0.3</v>
      </c>
      <c r="Q126" s="138">
        <f t="shared" si="15"/>
        <v>10.800000000000002</v>
      </c>
      <c r="R126" s="138">
        <v>15.6</v>
      </c>
      <c r="S126" s="138">
        <f t="shared" si="23"/>
        <v>17.16</v>
      </c>
      <c r="T126" s="138">
        <v>25.3</v>
      </c>
      <c r="U126" s="138">
        <f t="shared" si="24"/>
        <v>4.7999999999999972</v>
      </c>
      <c r="V126" s="138">
        <f t="shared" si="16"/>
        <v>2.8799999999999981</v>
      </c>
      <c r="W126" s="138">
        <f t="shared" si="17"/>
        <v>1.919999999999999</v>
      </c>
      <c r="Z126" s="132">
        <v>1</v>
      </c>
      <c r="AA126" s="132">
        <f t="shared" si="18"/>
        <v>4</v>
      </c>
      <c r="AB126" s="132">
        <v>5</v>
      </c>
      <c r="AC126" s="132">
        <v>12</v>
      </c>
      <c r="AD126" s="132">
        <f t="shared" si="19"/>
        <v>10</v>
      </c>
      <c r="AE126" s="132">
        <v>0.28999999999999998</v>
      </c>
      <c r="AF126" s="132">
        <f t="shared" si="20"/>
        <v>0.31900000000000001</v>
      </c>
      <c r="AG126" s="132">
        <f t="shared" si="21"/>
        <v>3.8280000000000003</v>
      </c>
      <c r="AS126" s="132">
        <f t="shared" si="25"/>
        <v>20.76</v>
      </c>
    </row>
    <row r="127" spans="1:45" x14ac:dyDescent="0.3">
      <c r="A127" s="137" t="s">
        <v>3</v>
      </c>
      <c r="B127" s="134" t="s">
        <v>313</v>
      </c>
      <c r="C127" s="134"/>
      <c r="D127" s="134" t="str">
        <f t="shared" si="22"/>
        <v/>
      </c>
      <c r="F127" s="132">
        <v>21400</v>
      </c>
      <c r="G127" s="134">
        <f t="shared" si="26"/>
        <v>400</v>
      </c>
      <c r="H127" s="134" t="s">
        <v>110</v>
      </c>
      <c r="I127" s="134" t="s">
        <v>315</v>
      </c>
      <c r="J127" s="141">
        <f t="shared" si="28"/>
        <v>21400</v>
      </c>
      <c r="K127" s="141">
        <f t="shared" si="28"/>
        <v>400</v>
      </c>
      <c r="L127" s="138">
        <v>12.3</v>
      </c>
      <c r="M127" s="138">
        <v>0.3</v>
      </c>
      <c r="N127" s="138">
        <v>0</v>
      </c>
      <c r="O127" s="138">
        <v>0.3</v>
      </c>
      <c r="P127" s="138">
        <v>0.3</v>
      </c>
      <c r="Q127" s="138">
        <f t="shared" si="15"/>
        <v>13.200000000000003</v>
      </c>
      <c r="R127" s="138">
        <v>17.5</v>
      </c>
      <c r="S127" s="138">
        <f t="shared" si="23"/>
        <v>19.25</v>
      </c>
      <c r="T127" s="138">
        <v>28.45</v>
      </c>
      <c r="U127" s="138">
        <f t="shared" si="24"/>
        <v>4.2999999999999972</v>
      </c>
      <c r="V127" s="138">
        <f t="shared" si="16"/>
        <v>2.5799999999999983</v>
      </c>
      <c r="W127" s="138">
        <f t="shared" si="17"/>
        <v>1.7199999999999989</v>
      </c>
      <c r="Z127" s="132">
        <v>1</v>
      </c>
      <c r="AA127" s="132">
        <f t="shared" si="18"/>
        <v>4</v>
      </c>
      <c r="AB127" s="132">
        <v>5</v>
      </c>
      <c r="AC127" s="132">
        <v>12</v>
      </c>
      <c r="AD127" s="132">
        <f t="shared" si="19"/>
        <v>10</v>
      </c>
      <c r="AE127" s="132">
        <v>0.4</v>
      </c>
      <c r="AF127" s="132">
        <f t="shared" si="20"/>
        <v>0.44000000000000006</v>
      </c>
      <c r="AG127" s="132">
        <f t="shared" si="21"/>
        <v>5.2800000000000011</v>
      </c>
      <c r="AS127" s="132">
        <f t="shared" si="25"/>
        <v>23.29</v>
      </c>
    </row>
    <row r="128" spans="1:45" x14ac:dyDescent="0.3">
      <c r="A128" s="137" t="s">
        <v>3</v>
      </c>
      <c r="B128" s="134" t="s">
        <v>313</v>
      </c>
      <c r="C128" s="134"/>
      <c r="D128" s="134" t="str">
        <f t="shared" si="22"/>
        <v/>
      </c>
      <c r="F128" s="132">
        <v>2181</v>
      </c>
      <c r="G128" s="134">
        <f t="shared" si="26"/>
        <v>30</v>
      </c>
      <c r="H128" s="134" t="s">
        <v>113</v>
      </c>
      <c r="I128" s="134" t="s">
        <v>237</v>
      </c>
      <c r="J128" s="141">
        <f t="shared" si="28"/>
        <v>2181</v>
      </c>
      <c r="K128" s="141">
        <f t="shared" si="28"/>
        <v>30</v>
      </c>
      <c r="L128" s="138">
        <v>4.9000000000000004</v>
      </c>
      <c r="M128" s="138">
        <v>0.3</v>
      </c>
      <c r="N128" s="138">
        <v>0</v>
      </c>
      <c r="O128" s="138">
        <v>0.3</v>
      </c>
      <c r="P128" s="138">
        <v>0.3</v>
      </c>
      <c r="Q128" s="138">
        <f t="shared" si="15"/>
        <v>5.8</v>
      </c>
      <c r="R128" s="138">
        <v>5.75</v>
      </c>
      <c r="S128" s="138">
        <f t="shared" si="23"/>
        <v>6.33</v>
      </c>
      <c r="T128" s="138">
        <v>9.6</v>
      </c>
      <c r="U128" s="138">
        <f t="shared" si="24"/>
        <v>-4.9999999999999822E-2</v>
      </c>
      <c r="V128" s="138">
        <f t="shared" si="16"/>
        <v>-2.9999999999999891E-2</v>
      </c>
      <c r="W128" s="138">
        <f t="shared" si="17"/>
        <v>-1.9999999999999931E-2</v>
      </c>
      <c r="Z128" s="132">
        <v>1</v>
      </c>
      <c r="AA128" s="132">
        <f t="shared" si="18"/>
        <v>4</v>
      </c>
      <c r="AB128" s="132">
        <v>5</v>
      </c>
      <c r="AC128" s="132">
        <v>12</v>
      </c>
      <c r="AD128" s="132">
        <f t="shared" si="19"/>
        <v>10</v>
      </c>
      <c r="AE128" s="132">
        <v>0.03</v>
      </c>
      <c r="AF128" s="132">
        <f t="shared" si="20"/>
        <v>3.3000000000000002E-2</v>
      </c>
      <c r="AG128" s="132">
        <f t="shared" si="21"/>
        <v>0.39600000000000002</v>
      </c>
      <c r="AS128" s="132">
        <f t="shared" si="25"/>
        <v>7.66</v>
      </c>
    </row>
    <row r="129" spans="1:45" x14ac:dyDescent="0.3">
      <c r="A129" s="137" t="s">
        <v>3</v>
      </c>
      <c r="B129" s="134" t="s">
        <v>131</v>
      </c>
      <c r="C129" s="134"/>
      <c r="D129" s="134" t="str">
        <f t="shared" si="22"/>
        <v/>
      </c>
      <c r="F129" s="132">
        <v>1997</v>
      </c>
      <c r="G129" s="134">
        <f t="shared" si="26"/>
        <v>1000</v>
      </c>
      <c r="H129" s="134" t="s">
        <v>157</v>
      </c>
      <c r="J129" s="141">
        <f t="shared" si="28"/>
        <v>1997</v>
      </c>
      <c r="K129" s="141">
        <f t="shared" si="28"/>
        <v>1000</v>
      </c>
      <c r="L129" s="138">
        <v>23</v>
      </c>
      <c r="M129" s="138">
        <v>0.3</v>
      </c>
      <c r="N129" s="138">
        <v>0</v>
      </c>
      <c r="O129" s="138">
        <v>0.3</v>
      </c>
      <c r="P129" s="138">
        <v>0.3</v>
      </c>
      <c r="Q129" s="138">
        <f t="shared" si="15"/>
        <v>23.900000000000002</v>
      </c>
      <c r="R129" s="138">
        <v>35</v>
      </c>
      <c r="S129" s="138">
        <f t="shared" si="23"/>
        <v>38.5</v>
      </c>
      <c r="U129" s="138">
        <f t="shared" si="24"/>
        <v>11.099999999999998</v>
      </c>
      <c r="V129" s="138">
        <f t="shared" si="16"/>
        <v>6.6599999999999984</v>
      </c>
      <c r="W129" s="138">
        <f t="shared" si="17"/>
        <v>4.4399999999999995</v>
      </c>
      <c r="Z129" s="132">
        <v>1</v>
      </c>
      <c r="AA129" s="132">
        <f t="shared" si="18"/>
        <v>0</v>
      </c>
      <c r="AB129" s="132">
        <v>5</v>
      </c>
      <c r="AC129" s="132">
        <v>1</v>
      </c>
      <c r="AD129" s="132">
        <f t="shared" si="19"/>
        <v>0</v>
      </c>
      <c r="AE129" s="132">
        <v>1</v>
      </c>
      <c r="AF129" s="132">
        <f t="shared" si="20"/>
        <v>1.1000000000000001</v>
      </c>
      <c r="AG129" s="132">
        <f t="shared" si="21"/>
        <v>1.1000000000000001</v>
      </c>
      <c r="AS129" s="132">
        <f t="shared" si="25"/>
        <v>46.59</v>
      </c>
    </row>
    <row r="130" spans="1:45" x14ac:dyDescent="0.3">
      <c r="A130" s="137" t="s">
        <v>3</v>
      </c>
      <c r="B130" s="134" t="s">
        <v>131</v>
      </c>
      <c r="C130" s="134"/>
      <c r="D130" s="134" t="str">
        <f t="shared" si="22"/>
        <v/>
      </c>
      <c r="F130" s="132">
        <v>281000</v>
      </c>
      <c r="G130" s="134">
        <f t="shared" si="26"/>
        <v>2000</v>
      </c>
      <c r="H130" s="134" t="s">
        <v>111</v>
      </c>
      <c r="J130" s="141">
        <f t="shared" si="28"/>
        <v>281000</v>
      </c>
      <c r="K130" s="141">
        <f t="shared" si="28"/>
        <v>2000</v>
      </c>
      <c r="L130" s="138">
        <v>248</v>
      </c>
      <c r="M130" s="138">
        <v>0.3</v>
      </c>
      <c r="N130" s="138">
        <v>0</v>
      </c>
      <c r="O130" s="138">
        <v>0.3</v>
      </c>
      <c r="P130" s="138">
        <v>0.3</v>
      </c>
      <c r="Q130" s="138">
        <f t="shared" si="15"/>
        <v>248.90000000000003</v>
      </c>
      <c r="R130" s="138">
        <v>275</v>
      </c>
      <c r="S130" s="138">
        <f t="shared" si="23"/>
        <v>302.5</v>
      </c>
      <c r="U130" s="138">
        <f t="shared" si="24"/>
        <v>26.099999999999966</v>
      </c>
      <c r="V130" s="138">
        <f t="shared" si="16"/>
        <v>15.659999999999979</v>
      </c>
      <c r="W130" s="138">
        <f t="shared" si="17"/>
        <v>10.439999999999987</v>
      </c>
      <c r="Z130" s="132">
        <v>1</v>
      </c>
      <c r="AA130" s="132">
        <f t="shared" si="18"/>
        <v>0</v>
      </c>
      <c r="AB130" s="132">
        <v>5</v>
      </c>
      <c r="AC130" s="132">
        <v>1</v>
      </c>
      <c r="AD130" s="132">
        <f t="shared" si="19"/>
        <v>0</v>
      </c>
      <c r="AE130" s="132">
        <v>2</v>
      </c>
      <c r="AF130" s="132">
        <f t="shared" si="20"/>
        <v>2.2000000000000002</v>
      </c>
      <c r="AG130" s="132">
        <f t="shared" si="21"/>
        <v>2.2000000000000002</v>
      </c>
      <c r="AS130" s="132">
        <f t="shared" si="25"/>
        <v>366.03</v>
      </c>
    </row>
    <row r="131" spans="1:45" x14ac:dyDescent="0.3">
      <c r="A131" s="137" t="s">
        <v>3</v>
      </c>
      <c r="B131" s="134" t="s">
        <v>131</v>
      </c>
      <c r="C131" s="134"/>
      <c r="D131" s="134" t="str">
        <f t="shared" si="22"/>
        <v/>
      </c>
      <c r="F131" s="132">
        <v>82111</v>
      </c>
      <c r="G131" s="134">
        <f t="shared" si="26"/>
        <v>100</v>
      </c>
      <c r="H131" s="134" t="s">
        <v>158</v>
      </c>
      <c r="J131" s="141">
        <f t="shared" si="28"/>
        <v>82111</v>
      </c>
      <c r="K131" s="141">
        <f t="shared" si="28"/>
        <v>100</v>
      </c>
      <c r="L131" s="138">
        <v>1.1000000000000001</v>
      </c>
      <c r="M131" s="138">
        <v>0.3</v>
      </c>
      <c r="N131" s="138">
        <v>0</v>
      </c>
      <c r="O131" s="138">
        <v>0.3</v>
      </c>
      <c r="P131" s="138">
        <v>0.3</v>
      </c>
      <c r="Q131" s="138">
        <f t="shared" ref="Q131:Q138" si="29">+L131+M131+N131+O131+P131</f>
        <v>2</v>
      </c>
      <c r="R131" s="138">
        <v>1.05</v>
      </c>
      <c r="S131" s="138">
        <f t="shared" si="23"/>
        <v>1.1599999999999999</v>
      </c>
      <c r="T131" s="138">
        <v>1.65</v>
      </c>
      <c r="U131" s="138">
        <f t="shared" si="24"/>
        <v>-0.95</v>
      </c>
      <c r="V131" s="138">
        <f t="shared" ref="V131:V139" si="30">U131*0.6</f>
        <v>-0.56999999999999995</v>
      </c>
      <c r="W131" s="138">
        <f t="shared" ref="W131:W139" si="31">U131*0.4</f>
        <v>-0.38</v>
      </c>
      <c r="Z131" s="132">
        <v>1</v>
      </c>
      <c r="AA131" s="132">
        <f t="shared" ref="AA131:AA140" si="32">INT(AC131/3)</f>
        <v>0</v>
      </c>
      <c r="AB131" s="132">
        <v>5</v>
      </c>
      <c r="AC131" s="132">
        <v>2</v>
      </c>
      <c r="AD131" s="132">
        <f t="shared" ref="AD131:AD140" si="33">IF(AC131=24,15,IF(AC131=12,10,0))</f>
        <v>0</v>
      </c>
      <c r="AE131" s="132">
        <v>0.1</v>
      </c>
      <c r="AF131" s="132">
        <f t="shared" ref="AF131:AF138" si="34">AE131*1.1</f>
        <v>0.11000000000000001</v>
      </c>
      <c r="AG131" s="132">
        <f t="shared" ref="AG131:AG138" si="35">AF131*AC131</f>
        <v>0.22000000000000003</v>
      </c>
      <c r="AS131" s="132">
        <f t="shared" si="25"/>
        <v>1.4</v>
      </c>
    </row>
    <row r="132" spans="1:45" hidden="1" x14ac:dyDescent="0.3">
      <c r="A132" s="137" t="s">
        <v>3</v>
      </c>
      <c r="B132" s="134" t="s">
        <v>131</v>
      </c>
      <c r="C132" s="134"/>
      <c r="D132" s="134" t="str">
        <f t="shared" si="22"/>
        <v/>
      </c>
      <c r="F132" s="132">
        <v>2086</v>
      </c>
      <c r="G132" s="134">
        <f t="shared" si="26"/>
        <v>100</v>
      </c>
      <c r="H132" s="134" t="s">
        <v>159</v>
      </c>
      <c r="J132" s="141">
        <f t="shared" si="28"/>
        <v>2086</v>
      </c>
      <c r="K132" s="141">
        <f t="shared" si="28"/>
        <v>100</v>
      </c>
      <c r="L132" s="138">
        <v>0.75</v>
      </c>
      <c r="M132" s="138">
        <v>0.3</v>
      </c>
      <c r="N132" s="138">
        <v>0</v>
      </c>
      <c r="O132" s="138">
        <v>0.3</v>
      </c>
      <c r="P132" s="138">
        <v>0.3</v>
      </c>
      <c r="Q132" s="138">
        <f t="shared" si="29"/>
        <v>1.6500000000000001</v>
      </c>
      <c r="S132" s="138">
        <f t="shared" ref="S132:S136" si="36">ROUND(R132*1.1,2)</f>
        <v>0</v>
      </c>
      <c r="U132" s="138">
        <f t="shared" ref="U132:U140" si="37">R132-Q132</f>
        <v>-1.6500000000000001</v>
      </c>
      <c r="V132" s="138">
        <f t="shared" si="30"/>
        <v>-0.99</v>
      </c>
      <c r="W132" s="138">
        <f t="shared" si="31"/>
        <v>-0.66000000000000014</v>
      </c>
      <c r="Z132" s="132">
        <v>1</v>
      </c>
      <c r="AA132" s="132">
        <f t="shared" si="32"/>
        <v>8</v>
      </c>
      <c r="AB132" s="132">
        <v>5</v>
      </c>
      <c r="AC132" s="132">
        <v>25</v>
      </c>
      <c r="AD132" s="132">
        <f t="shared" si="33"/>
        <v>0</v>
      </c>
      <c r="AE132" s="132">
        <v>0.1</v>
      </c>
      <c r="AF132" s="132">
        <f t="shared" si="34"/>
        <v>0.11000000000000001</v>
      </c>
      <c r="AG132" s="132">
        <f t="shared" si="35"/>
        <v>2.7500000000000004</v>
      </c>
      <c r="AS132" s="132">
        <f t="shared" ref="AS132:AS144" si="38">ROUND(S132*1.21,2)</f>
        <v>0</v>
      </c>
    </row>
    <row r="133" spans="1:45" hidden="1" x14ac:dyDescent="0.3">
      <c r="A133" s="137" t="s">
        <v>3</v>
      </c>
      <c r="B133" s="134" t="s">
        <v>131</v>
      </c>
      <c r="C133" s="134"/>
      <c r="D133" s="134" t="str">
        <f t="shared" ref="D133:D145" si="39">IF(C133=1,"Motor y Transmisión",IF(C133=2,"Refrigeración",IF(C133=3,"Climatización",IF(C133=4,"Sistema de Combustión",IF(C133=5,"Frenos",IF(C133=6,"Mantenimiento y Cuidado",IF(C133=7,"Carrocería","")))))))</f>
        <v/>
      </c>
      <c r="F133" s="132">
        <v>2099</v>
      </c>
      <c r="G133" s="134">
        <f t="shared" si="26"/>
        <v>290</v>
      </c>
      <c r="H133" s="134" t="s">
        <v>160</v>
      </c>
      <c r="J133" s="141">
        <f t="shared" si="28"/>
        <v>2099</v>
      </c>
      <c r="K133" s="141">
        <f t="shared" si="28"/>
        <v>290</v>
      </c>
      <c r="L133" s="138">
        <v>6.5</v>
      </c>
      <c r="M133" s="138">
        <v>0.3</v>
      </c>
      <c r="N133" s="138">
        <v>0</v>
      </c>
      <c r="O133" s="138">
        <v>0.3</v>
      </c>
      <c r="P133" s="138">
        <v>0.3</v>
      </c>
      <c r="Q133" s="138">
        <f t="shared" si="29"/>
        <v>7.3999999999999995</v>
      </c>
      <c r="S133" s="138">
        <f t="shared" si="36"/>
        <v>0</v>
      </c>
      <c r="U133" s="138">
        <f t="shared" si="37"/>
        <v>-7.3999999999999995</v>
      </c>
      <c r="V133" s="138">
        <f t="shared" si="30"/>
        <v>-4.4399999999999995</v>
      </c>
      <c r="W133" s="138">
        <f t="shared" si="31"/>
        <v>-2.96</v>
      </c>
      <c r="Z133" s="132">
        <v>1</v>
      </c>
      <c r="AA133" s="132">
        <f t="shared" si="32"/>
        <v>4</v>
      </c>
      <c r="AB133" s="132">
        <v>5</v>
      </c>
      <c r="AC133" s="132">
        <v>12</v>
      </c>
      <c r="AD133" s="132">
        <f t="shared" si="33"/>
        <v>10</v>
      </c>
      <c r="AE133" s="132">
        <v>0.28999999999999998</v>
      </c>
      <c r="AF133" s="132">
        <f t="shared" si="34"/>
        <v>0.31900000000000001</v>
      </c>
      <c r="AG133" s="132">
        <f t="shared" si="35"/>
        <v>3.8280000000000003</v>
      </c>
      <c r="AS133" s="132">
        <f t="shared" si="38"/>
        <v>0</v>
      </c>
    </row>
    <row r="134" spans="1:45" x14ac:dyDescent="0.3">
      <c r="A134" s="137" t="s">
        <v>3</v>
      </c>
      <c r="B134" s="134" t="s">
        <v>131</v>
      </c>
      <c r="C134" s="134"/>
      <c r="D134" s="134" t="str">
        <f t="shared" si="39"/>
        <v/>
      </c>
      <c r="F134" s="132">
        <v>93001</v>
      </c>
      <c r="G134" s="134">
        <f t="shared" si="26"/>
        <v>500</v>
      </c>
      <c r="H134" s="134" t="s">
        <v>161</v>
      </c>
      <c r="J134" s="141">
        <f t="shared" si="28"/>
        <v>93001</v>
      </c>
      <c r="K134" s="141">
        <f t="shared" si="28"/>
        <v>500</v>
      </c>
      <c r="L134" s="138">
        <v>25</v>
      </c>
      <c r="M134" s="138">
        <v>0.3</v>
      </c>
      <c r="N134" s="138">
        <v>0</v>
      </c>
      <c r="O134" s="138">
        <v>0.3</v>
      </c>
      <c r="P134" s="138">
        <v>0.3</v>
      </c>
      <c r="Q134" s="138">
        <f t="shared" si="29"/>
        <v>25.900000000000002</v>
      </c>
      <c r="R134" s="138">
        <v>35</v>
      </c>
      <c r="S134" s="138">
        <f t="shared" si="36"/>
        <v>38.5</v>
      </c>
      <c r="U134" s="138">
        <f t="shared" si="37"/>
        <v>9.0999999999999979</v>
      </c>
      <c r="V134" s="138">
        <f t="shared" si="30"/>
        <v>5.4599999999999982</v>
      </c>
      <c r="W134" s="138">
        <f t="shared" si="31"/>
        <v>3.6399999999999992</v>
      </c>
      <c r="Z134" s="132">
        <v>1</v>
      </c>
      <c r="AA134" s="132">
        <f t="shared" si="32"/>
        <v>0</v>
      </c>
      <c r="AB134" s="132">
        <v>5</v>
      </c>
      <c r="AC134" s="132">
        <v>1</v>
      </c>
      <c r="AD134" s="132">
        <f t="shared" si="33"/>
        <v>0</v>
      </c>
      <c r="AE134" s="132">
        <v>0.5</v>
      </c>
      <c r="AF134" s="132">
        <f t="shared" si="34"/>
        <v>0.55000000000000004</v>
      </c>
      <c r="AG134" s="132">
        <f t="shared" si="35"/>
        <v>0.55000000000000004</v>
      </c>
      <c r="AS134" s="132">
        <f t="shared" si="38"/>
        <v>46.59</v>
      </c>
    </row>
    <row r="135" spans="1:45" x14ac:dyDescent="0.3">
      <c r="A135" s="137" t="s">
        <v>3</v>
      </c>
      <c r="B135" s="134" t="s">
        <v>131</v>
      </c>
      <c r="C135" s="134"/>
      <c r="D135" s="134" t="str">
        <f t="shared" si="39"/>
        <v/>
      </c>
      <c r="F135" s="132">
        <v>93002</v>
      </c>
      <c r="G135" s="134">
        <f t="shared" ref="G135:G169" si="40">AE135*1000</f>
        <v>10</v>
      </c>
      <c r="H135" s="134" t="s">
        <v>162</v>
      </c>
      <c r="J135" s="141">
        <f t="shared" si="28"/>
        <v>93002</v>
      </c>
      <c r="K135" s="141">
        <f t="shared" si="28"/>
        <v>10</v>
      </c>
      <c r="L135" s="138">
        <v>5</v>
      </c>
      <c r="M135" s="138">
        <v>0.3</v>
      </c>
      <c r="N135" s="138">
        <v>0</v>
      </c>
      <c r="O135" s="138">
        <v>0.3</v>
      </c>
      <c r="P135" s="138">
        <v>0.3</v>
      </c>
      <c r="Q135" s="138">
        <f t="shared" si="29"/>
        <v>5.8999999999999995</v>
      </c>
      <c r="R135" s="138">
        <v>5.75</v>
      </c>
      <c r="S135" s="138">
        <f t="shared" si="36"/>
        <v>6.33</v>
      </c>
      <c r="U135" s="138">
        <f t="shared" si="37"/>
        <v>-0.14999999999999947</v>
      </c>
      <c r="V135" s="138">
        <f t="shared" si="30"/>
        <v>-8.9999999999999677E-2</v>
      </c>
      <c r="W135" s="138">
        <f t="shared" si="31"/>
        <v>-5.999999999999979E-2</v>
      </c>
      <c r="Z135" s="132">
        <v>1</v>
      </c>
      <c r="AA135" s="132">
        <f t="shared" si="32"/>
        <v>3</v>
      </c>
      <c r="AB135" s="132">
        <v>5</v>
      </c>
      <c r="AC135" s="132">
        <v>10</v>
      </c>
      <c r="AD135" s="132">
        <f t="shared" si="33"/>
        <v>0</v>
      </c>
      <c r="AE135" s="132">
        <v>0.01</v>
      </c>
      <c r="AF135" s="132">
        <f t="shared" si="34"/>
        <v>1.1000000000000001E-2</v>
      </c>
      <c r="AG135" s="132">
        <f t="shared" si="35"/>
        <v>0.11000000000000001</v>
      </c>
      <c r="AS135" s="132">
        <f t="shared" si="38"/>
        <v>7.66</v>
      </c>
    </row>
    <row r="136" spans="1:45" x14ac:dyDescent="0.3">
      <c r="A136" s="134" t="s">
        <v>3</v>
      </c>
      <c r="B136" s="134" t="s">
        <v>163</v>
      </c>
      <c r="C136" s="134"/>
      <c r="D136" s="134" t="str">
        <f t="shared" si="39"/>
        <v/>
      </c>
      <c r="E136" s="134">
        <v>1</v>
      </c>
      <c r="F136" s="132" t="s">
        <v>73</v>
      </c>
      <c r="G136" s="134">
        <f t="shared" si="40"/>
        <v>300</v>
      </c>
      <c r="H136" s="134" t="s">
        <v>72</v>
      </c>
      <c r="I136" s="134"/>
      <c r="J136" s="141" t="str">
        <f t="shared" si="28"/>
        <v>2034-300</v>
      </c>
      <c r="K136" s="141">
        <f t="shared" si="28"/>
        <v>300</v>
      </c>
      <c r="L136" s="138">
        <v>3.5</v>
      </c>
      <c r="M136" s="138">
        <v>0.3</v>
      </c>
      <c r="N136" s="138">
        <v>0</v>
      </c>
      <c r="O136" s="138">
        <v>0.3</v>
      </c>
      <c r="P136" s="138">
        <v>0.3</v>
      </c>
      <c r="Q136" s="138">
        <f t="shared" si="29"/>
        <v>4.3999999999999995</v>
      </c>
      <c r="R136" s="138">
        <v>8.75</v>
      </c>
      <c r="S136" s="138">
        <f t="shared" si="36"/>
        <v>9.6300000000000008</v>
      </c>
      <c r="T136" s="138">
        <v>15.4</v>
      </c>
      <c r="U136" s="138">
        <f t="shared" si="37"/>
        <v>4.3500000000000005</v>
      </c>
      <c r="V136" s="138">
        <f t="shared" si="30"/>
        <v>2.6100000000000003</v>
      </c>
      <c r="W136" s="138">
        <f t="shared" si="31"/>
        <v>1.7400000000000002</v>
      </c>
      <c r="Z136" s="132">
        <v>1</v>
      </c>
      <c r="AA136" s="132">
        <f t="shared" si="32"/>
        <v>8</v>
      </c>
      <c r="AB136" s="132">
        <v>5</v>
      </c>
      <c r="AC136" s="132">
        <v>24</v>
      </c>
      <c r="AD136" s="132">
        <f t="shared" si="33"/>
        <v>15</v>
      </c>
      <c r="AE136" s="132">
        <v>0.3</v>
      </c>
      <c r="AF136" s="132">
        <f t="shared" si="34"/>
        <v>0.33</v>
      </c>
      <c r="AG136" s="132">
        <f t="shared" si="35"/>
        <v>7.92</v>
      </c>
      <c r="AK136" s="132">
        <v>2</v>
      </c>
      <c r="AS136" s="132">
        <f t="shared" si="38"/>
        <v>11.65</v>
      </c>
    </row>
    <row r="137" spans="1:45" hidden="1" x14ac:dyDescent="0.3">
      <c r="A137" s="134" t="s">
        <v>3</v>
      </c>
      <c r="B137" s="134"/>
      <c r="C137" s="134"/>
      <c r="D137" s="134" t="str">
        <f t="shared" si="39"/>
        <v/>
      </c>
      <c r="F137" s="132">
        <v>2117</v>
      </c>
      <c r="G137" s="134">
        <f t="shared" si="40"/>
        <v>0</v>
      </c>
      <c r="H137" s="134" t="s">
        <v>87</v>
      </c>
      <c r="J137" s="141">
        <f t="shared" si="28"/>
        <v>2117</v>
      </c>
      <c r="K137" s="141">
        <f t="shared" si="28"/>
        <v>0</v>
      </c>
      <c r="U137" s="138">
        <f t="shared" si="37"/>
        <v>0</v>
      </c>
      <c r="V137" s="138">
        <f t="shared" si="30"/>
        <v>0</v>
      </c>
      <c r="W137" s="138">
        <f t="shared" si="31"/>
        <v>0</v>
      </c>
      <c r="AA137" s="132">
        <f t="shared" si="32"/>
        <v>0</v>
      </c>
      <c r="AB137" s="132">
        <v>5</v>
      </c>
      <c r="AD137" s="132">
        <f t="shared" si="33"/>
        <v>0</v>
      </c>
      <c r="AS137" s="132">
        <f t="shared" si="38"/>
        <v>0</v>
      </c>
    </row>
    <row r="138" spans="1:45" hidden="1" x14ac:dyDescent="0.3">
      <c r="C138" s="132">
        <v>1</v>
      </c>
      <c r="D138" s="134" t="str">
        <f t="shared" si="39"/>
        <v>Motor y Transmisión</v>
      </c>
      <c r="E138" s="134" t="s">
        <v>341</v>
      </c>
      <c r="H138" s="134" t="s">
        <v>246</v>
      </c>
      <c r="I138" s="134" t="s">
        <v>246</v>
      </c>
      <c r="AA138" s="132">
        <f t="shared" si="32"/>
        <v>0</v>
      </c>
      <c r="AB138" s="132">
        <v>5</v>
      </c>
      <c r="AD138" s="132">
        <f t="shared" si="33"/>
        <v>0</v>
      </c>
      <c r="AS138" s="132">
        <f t="shared" si="38"/>
        <v>0</v>
      </c>
    </row>
    <row r="139" spans="1:45" hidden="1" x14ac:dyDescent="0.3">
      <c r="C139" s="132">
        <v>2</v>
      </c>
      <c r="D139" s="134" t="str">
        <f t="shared" si="39"/>
        <v>Refrigeración</v>
      </c>
      <c r="E139" s="134" t="s">
        <v>342</v>
      </c>
      <c r="AS139" s="132">
        <f t="shared" si="38"/>
        <v>0</v>
      </c>
    </row>
    <row r="140" spans="1:45" hidden="1" x14ac:dyDescent="0.3">
      <c r="C140" s="132">
        <v>3</v>
      </c>
      <c r="D140" s="134" t="str">
        <f t="shared" si="39"/>
        <v>Climatización</v>
      </c>
      <c r="E140" s="134" t="s">
        <v>343</v>
      </c>
      <c r="AS140" s="132">
        <f t="shared" si="38"/>
        <v>0</v>
      </c>
    </row>
    <row r="141" spans="1:45" hidden="1" x14ac:dyDescent="0.3">
      <c r="C141" s="132">
        <v>4</v>
      </c>
      <c r="D141" s="134" t="str">
        <f t="shared" si="39"/>
        <v>Sistema de Combustión</v>
      </c>
      <c r="E141" s="134" t="s">
        <v>345</v>
      </c>
      <c r="AS141" s="132">
        <f t="shared" si="38"/>
        <v>0</v>
      </c>
    </row>
    <row r="142" spans="1:45" hidden="1" x14ac:dyDescent="0.3">
      <c r="C142" s="132">
        <v>5</v>
      </c>
      <c r="D142" s="134" t="str">
        <f t="shared" si="39"/>
        <v>Frenos</v>
      </c>
      <c r="E142" s="134" t="s">
        <v>344</v>
      </c>
      <c r="AS142" s="132">
        <f t="shared" si="38"/>
        <v>0</v>
      </c>
    </row>
    <row r="143" spans="1:45" hidden="1" x14ac:dyDescent="0.3">
      <c r="C143" s="132">
        <v>6</v>
      </c>
      <c r="D143" s="134" t="str">
        <f t="shared" si="39"/>
        <v>Mantenimiento y Cuidado</v>
      </c>
      <c r="E143" s="134" t="s">
        <v>346</v>
      </c>
      <c r="AS143" s="132">
        <f t="shared" si="38"/>
        <v>0</v>
      </c>
    </row>
    <row r="144" spans="1:45" hidden="1" x14ac:dyDescent="0.3">
      <c r="C144" s="132">
        <v>7</v>
      </c>
      <c r="D144" s="134" t="str">
        <f t="shared" si="39"/>
        <v>Carrocería</v>
      </c>
      <c r="E144" s="134" t="s">
        <v>347</v>
      </c>
      <c r="AS144" s="132">
        <f t="shared" si="38"/>
        <v>0</v>
      </c>
    </row>
  </sheetData>
  <sheetProtection algorithmName="SHA-512" hashValue="s68vDzw81T6sSCmrmH3awCxsuATHbxXLQkwYaXsbOZvXdQ8jtH1dmCJ4KMye2rarSUKWxgyGF9XRcSWypg1IeA==" saltValue="KmvGsz+X78VY8rUGM6ottw==" spinCount="100000" sheet="1" objects="1" scenarios="1"/>
  <autoFilter ref="A2:AZ144" xr:uid="{1C9AF729-D14F-4D43-9D10-2EBE5E56EE12}"/>
  <conditionalFormatting sqref="F1:F1048576">
    <cfRule type="cellIs" dxfId="2" priority="1" operator="equal">
      <formula>21991</formula>
    </cfRule>
  </conditionalFormatting>
  <conditionalFormatting sqref="F2:F1048576">
    <cfRule type="cellIs" dxfId="1" priority="3" operator="equal">
      <formula>2097</formula>
    </cfRule>
  </conditionalFormatting>
  <conditionalFormatting sqref="AA2:AB2 U2:X1048576"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ced06422-c515-4a4e-a1f2-e6a0c0200eae}" enabled="1" method="Standard" siteId="{e339bd4b-2e3b-4035-a452-2112d502f2f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8</vt:i4>
      </vt:variant>
    </vt:vector>
  </HeadingPairs>
  <TitlesOfParts>
    <vt:vector size="16" baseType="lpstr">
      <vt:lpstr>PEDIDO WEPP</vt:lpstr>
      <vt:lpstr>PEDIDO WEPP ALEMAN</vt:lpstr>
      <vt:lpstr>CLIENTE PEDIDO</vt:lpstr>
      <vt:lpstr>CLIENTE FACTURA</vt:lpstr>
      <vt:lpstr>FACTURA COMERCIAL</vt:lpstr>
      <vt:lpstr>DATOS</vt:lpstr>
      <vt:lpstr>familias</vt:lpstr>
      <vt:lpstr>DATOS (2)</vt:lpstr>
      <vt:lpstr>'PEDIDO WEPP'!Área_de_impresión</vt:lpstr>
      <vt:lpstr>carroceria</vt:lpstr>
      <vt:lpstr>climatizacion</vt:lpstr>
      <vt:lpstr>combustion</vt:lpstr>
      <vt:lpstr>frenos</vt:lpstr>
      <vt:lpstr>mantenimiento</vt:lpstr>
      <vt:lpstr>motor</vt:lpstr>
      <vt:lpstr>refrigeracion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Estrada Lavilla, Veronica</dc:creator>
  <cp:lastModifiedBy>Estrada Lavilla, Veronica</cp:lastModifiedBy>
  <cp:lastPrinted>2025-12-07T19:34:21Z</cp:lastPrinted>
  <dcterms:created xsi:type="dcterms:W3CDTF">2023-08-08T11:46:45Z</dcterms:created>
  <dcterms:modified xsi:type="dcterms:W3CDTF">2026-05-21T19:22:42Z</dcterms:modified>
</cp:coreProperties>
</file>